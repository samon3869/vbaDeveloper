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현재_통합_문서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info\Dropbox\9. 내 드롭박스\@. #오빠두\# 홈페이지 공유파일\1. 엑셀 - 무료강의\엑셀 퀵 VBA 강의\"/>
    </mc:Choice>
  </mc:AlternateContent>
  <xr:revisionPtr revIDLastSave="0" documentId="13_ncr:1_{A4D0A26A-6D6E-4899-B6F5-70E3EDEB89CC}" xr6:coauthVersionLast="47" xr6:coauthVersionMax="47" xr10:uidLastSave="{00000000-0000-0000-0000-000000000000}"/>
  <bookViews>
    <workbookView xWindow="-108" yWindow="-108" windowWidth="22680" windowHeight="14472" xr2:uid="{00000000-000D-0000-FFFF-FFFF00000000}"/>
  </bookViews>
  <sheets>
    <sheet name="테스트" sheetId="20" r:id="rId1"/>
    <sheet name="제품명" sheetId="9" r:id="rId2"/>
    <sheet name="고객명" sheetId="10" r:id="rId3"/>
    <sheet name="주문목록" sheetId="14" r:id="rId4"/>
    <sheet name="주문상세" sheetId="12" r:id="rId5"/>
    <sheet name="구조" sheetId="18" r:id="rId6"/>
  </sheets>
  <functionGroups builtInGroupCount="19"/>
  <definedNames>
    <definedName name="_xlnm._FilterDatabase" localSheetId="2" hidden="1">고객명!$A$1:$G$15</definedName>
    <definedName name="_xlnm._FilterDatabase" localSheetId="1" hidden="1">제품명!$A$1:$E$25</definedName>
    <definedName name="_xlnm._FilterDatabase" localSheetId="3" hidden="1">주문목록!$A$1:$D$15</definedName>
    <definedName name="_xlnm._FilterDatabase" localSheetId="4" hidden="1">주문상세!$A$1:$E$68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3" i="12" l="1"/>
  <c r="K5" i="12"/>
  <c r="I6" i="12" s="1"/>
  <c r="G12" i="12" l="1" a="1"/>
  <c r="G12" i="12" s="1"/>
  <c r="I21" i="12" a="1"/>
  <c r="I21" i="12" s="1"/>
  <c r="I14" i="12" a="1"/>
  <c r="I14" i="12" s="1"/>
  <c r="I16" i="12" a="1"/>
  <c r="I16" i="12" s="1"/>
  <c r="G13" i="12" a="1"/>
  <c r="G13" i="12" s="1"/>
  <c r="I13" i="12" a="1"/>
  <c r="I13" i="12" s="1"/>
  <c r="I15" i="12" a="1"/>
  <c r="I15" i="12" s="1"/>
  <c r="G14" i="12" a="1"/>
  <c r="G14" i="12" s="1"/>
  <c r="G11" i="12" a="1"/>
  <c r="G11" i="12" s="1"/>
  <c r="I17" i="12" a="1"/>
  <c r="I17" i="12" s="1"/>
  <c r="G15" i="12" a="1"/>
  <c r="G15" i="12" s="1"/>
  <c r="H18" i="12" a="1"/>
  <c r="H18" i="12" s="1"/>
  <c r="G16" i="12" a="1"/>
  <c r="G16" i="12" s="1"/>
  <c r="I10" i="12" a="1"/>
  <c r="I10" i="12" s="1"/>
  <c r="I18" i="12" a="1"/>
  <c r="I18" i="12" s="1"/>
  <c r="G17" i="12" a="1"/>
  <c r="G17" i="12" s="1"/>
  <c r="H10" i="12" a="1"/>
  <c r="H10" i="12" s="1"/>
  <c r="H11" i="12" a="1"/>
  <c r="H11" i="12" s="1"/>
  <c r="H19" i="12" a="1"/>
  <c r="H19" i="12" s="1"/>
  <c r="G18" i="12" a="1"/>
  <c r="G18" i="12" s="1"/>
  <c r="I11" i="12" a="1"/>
  <c r="I11" i="12" s="1"/>
  <c r="I19" i="12" a="1"/>
  <c r="I19" i="12" s="1"/>
  <c r="G19" i="12" a="1"/>
  <c r="G19" i="12" s="1"/>
  <c r="H14" i="12" a="1"/>
  <c r="H14" i="12" s="1"/>
  <c r="J14" i="12" s="1"/>
  <c r="H16" i="12" a="1"/>
  <c r="H16" i="12" s="1"/>
  <c r="H12" i="12" a="1"/>
  <c r="H12" i="12" s="1"/>
  <c r="H20" i="12" a="1"/>
  <c r="H20" i="12" s="1"/>
  <c r="G20" i="12" a="1"/>
  <c r="G20" i="12" s="1"/>
  <c r="H15" i="12" a="1"/>
  <c r="H15" i="12" s="1"/>
  <c r="J15" i="12" s="1"/>
  <c r="G10" i="12" a="1"/>
  <c r="G10" i="12" s="1"/>
  <c r="I12" i="12" a="1"/>
  <c r="I12" i="12" s="1"/>
  <c r="I20" i="12" a="1"/>
  <c r="I20" i="12" s="1"/>
  <c r="G21" i="12" a="1"/>
  <c r="G21" i="12" s="1"/>
  <c r="H17" i="12" a="1"/>
  <c r="H17" i="12" s="1"/>
  <c r="H13" i="12" a="1"/>
  <c r="H13" i="12" s="1"/>
  <c r="H21" i="12" a="1"/>
  <c r="H21" i="12" s="1"/>
  <c r="J21" i="12" s="1"/>
  <c r="J6" i="12"/>
  <c r="G6" i="12"/>
  <c r="H6" i="12"/>
  <c r="J16" i="12" l="1"/>
  <c r="J13" i="12"/>
  <c r="J17" i="12"/>
  <c r="J11" i="12"/>
  <c r="J19" i="12"/>
  <c r="J10" i="12"/>
  <c r="J20" i="12"/>
  <c r="J18" i="12"/>
  <c r="J12" i="12"/>
  <c r="J22" i="1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<sst xmlns="http://schemas.openxmlformats.org/spreadsheetml/2006/main" count="251" uniqueCount="168">
  <si>
    <t>ID</t>
    <phoneticPr fontId="1" type="noConversion"/>
  </si>
  <si>
    <t>연락처</t>
    <phoneticPr fontId="1" type="noConversion"/>
  </si>
  <si>
    <t>주소지</t>
    <phoneticPr fontId="1" type="noConversion"/>
  </si>
  <si>
    <t>제품명</t>
  </si>
  <si>
    <t>제품명</t>
    <phoneticPr fontId="1" type="noConversion"/>
  </si>
  <si>
    <t>가격</t>
  </si>
  <si>
    <t>가격</t>
    <phoneticPr fontId="1" type="noConversion"/>
  </si>
  <si>
    <t>사이즈</t>
  </si>
  <si>
    <t>사이즈</t>
    <phoneticPr fontId="1" type="noConversion"/>
  </si>
  <si>
    <t>색상</t>
  </si>
  <si>
    <t>색상</t>
    <phoneticPr fontId="1" type="noConversion"/>
  </si>
  <si>
    <t>ID</t>
  </si>
  <si>
    <t>고객명</t>
  </si>
  <si>
    <t>고객명</t>
    <phoneticPr fontId="1" type="noConversion"/>
  </si>
  <si>
    <t>회원ID</t>
  </si>
  <si>
    <t>회원ID</t>
    <phoneticPr fontId="1" type="noConversion"/>
  </si>
  <si>
    <t>연락처</t>
  </si>
  <si>
    <t>주소지</t>
  </si>
  <si>
    <t>가입일</t>
  </si>
  <si>
    <t>가입일</t>
    <phoneticPr fontId="1" type="noConversion"/>
  </si>
  <si>
    <t>김세민</t>
  </si>
  <si>
    <t>정다온</t>
  </si>
  <si>
    <t>김진선</t>
  </si>
  <si>
    <t>정희엘</t>
  </si>
  <si>
    <t>박단비</t>
  </si>
  <si>
    <t>정진하</t>
  </si>
  <si>
    <t>김병민</t>
  </si>
  <si>
    <t>이제우</t>
  </si>
  <si>
    <t>김준용</t>
  </si>
  <si>
    <t>박정화</t>
  </si>
  <si>
    <t>이서우</t>
  </si>
  <si>
    <t>김교은</t>
  </si>
  <si>
    <t>최효윤</t>
  </si>
  <si>
    <t>인천광역시 동구 송림동 2797호 2층</t>
  </si>
  <si>
    <t>경상북도 봉화군 명호면 5790호 3층</t>
  </si>
  <si>
    <t>경기도 파주시 조리읍 9967호 1층</t>
  </si>
  <si>
    <t>대구광역시 동구 둔산동 6068호 1층</t>
  </si>
  <si>
    <t>경상남도 창원시 마산합포구 월남동3가 4798호 1층</t>
  </si>
  <si>
    <t>경상북도 예천군 호명면 7443호 2층</t>
  </si>
  <si>
    <t>경상북도 구미시 도량동 9983호 1층</t>
  </si>
  <si>
    <t>전라남도 목포시 대의동2가 6197호 3층</t>
  </si>
  <si>
    <t>전라남도 광양시 광영동 3428호 3층</t>
  </si>
  <si>
    <t>경상북도 안동시 남문동 4444호 3층</t>
  </si>
  <si>
    <t>010-2560-8478</t>
  </si>
  <si>
    <t>010-7246-6081</t>
  </si>
  <si>
    <t>010-6226-3175</t>
  </si>
  <si>
    <t>010-7972-4272</t>
  </si>
  <si>
    <t>010-1898-3593</t>
  </si>
  <si>
    <t>010-9884-6944</t>
  </si>
  <si>
    <t>010-9035-1222</t>
  </si>
  <si>
    <t>010-6062-3501</t>
  </si>
  <si>
    <t>010-2149-9570</t>
  </si>
  <si>
    <t>010-8034-6937</t>
  </si>
  <si>
    <t>010-5071-9349</t>
  </si>
  <si>
    <t>repel</t>
  </si>
  <si>
    <t>flora</t>
  </si>
  <si>
    <t>snorkling</t>
  </si>
  <si>
    <t>fartlek</t>
  </si>
  <si>
    <t>atmosphere</t>
  </si>
  <si>
    <t>doodle13</t>
    <phoneticPr fontId="1" type="noConversion"/>
  </si>
  <si>
    <t>water29</t>
    <phoneticPr fontId="1" type="noConversion"/>
  </si>
  <si>
    <t>crepe011</t>
    <phoneticPr fontId="1" type="noConversion"/>
  </si>
  <si>
    <t>slightly39</t>
    <phoneticPr fontId="1" type="noConversion"/>
  </si>
  <si>
    <t>watermelon112</t>
    <phoneticPr fontId="1" type="noConversion"/>
  </si>
  <si>
    <t>chipmunk78</t>
    <phoneticPr fontId="1" type="noConversion"/>
  </si>
  <si>
    <t>뮤즈 트위트 비스티에 원피스-블랙(66)</t>
    <phoneticPr fontId="1" type="noConversion"/>
  </si>
  <si>
    <t>뮤즈 트위트 비스티에 원피스-블랙(77)</t>
    <phoneticPr fontId="1" type="noConversion"/>
  </si>
  <si>
    <t>뮤즈 트위트 비스티에 원피스-블랙(88)</t>
    <phoneticPr fontId="1" type="noConversion"/>
  </si>
  <si>
    <t>뮤즈 트위트 비스티에 원피스-블랙(99)</t>
    <phoneticPr fontId="1" type="noConversion"/>
  </si>
  <si>
    <t>베이직 반하이넥 니트-베이지(66)</t>
    <phoneticPr fontId="1" type="noConversion"/>
  </si>
  <si>
    <t>베이직 반하이넥 니트-베이지(77)</t>
    <phoneticPr fontId="1" type="noConversion"/>
  </si>
  <si>
    <t>베이직 반하이넥 니트-베이지(88)</t>
    <phoneticPr fontId="1" type="noConversion"/>
  </si>
  <si>
    <t>베이직 반하이넥 니트-베이지(99)</t>
    <phoneticPr fontId="1" type="noConversion"/>
  </si>
  <si>
    <t>기모안감 일자라인 팬츠-블랙(66)</t>
    <phoneticPr fontId="1" type="noConversion"/>
  </si>
  <si>
    <t>기모안감 일자라인 팬츠-블랙(77)</t>
    <phoneticPr fontId="1" type="noConversion"/>
  </si>
  <si>
    <t>기모안감 일자라인 팬츠-블랙(88)</t>
    <phoneticPr fontId="1" type="noConversion"/>
  </si>
  <si>
    <t>기모안감 일자라인 팬츠-블랙(99)</t>
    <phoneticPr fontId="1" type="noConversion"/>
  </si>
  <si>
    <t>도톰 블라우스-핑크(66)</t>
    <phoneticPr fontId="1" type="noConversion"/>
  </si>
  <si>
    <t>도톰 블라우스-핑크(77)</t>
    <phoneticPr fontId="1" type="noConversion"/>
  </si>
  <si>
    <t>도톰 블라우스-핑크(88)</t>
    <phoneticPr fontId="1" type="noConversion"/>
  </si>
  <si>
    <t>도톰 블라우스-핑크(99)</t>
    <phoneticPr fontId="1" type="noConversion"/>
  </si>
  <si>
    <t>베이지</t>
    <phoneticPr fontId="1" type="noConversion"/>
  </si>
  <si>
    <t>블랙</t>
  </si>
  <si>
    <t>핑크</t>
  </si>
  <si>
    <t>블랙</t>
    <phoneticPr fontId="1" type="noConversion"/>
  </si>
  <si>
    <t>여리여리 브이넥 니트-핑크(66)</t>
    <phoneticPr fontId="1" type="noConversion"/>
  </si>
  <si>
    <t>카라 슬림 원피스-그레이(66)</t>
  </si>
  <si>
    <t>카라 슬림 원피스-그레이(66)</t>
    <phoneticPr fontId="1" type="noConversion"/>
  </si>
  <si>
    <t>그레이</t>
    <phoneticPr fontId="1" type="noConversion"/>
  </si>
  <si>
    <t>카라 슬림 원피스-그레이(77)</t>
    <phoneticPr fontId="1" type="noConversion"/>
  </si>
  <si>
    <t>카라 슬림 원피스-그레이(88)</t>
  </si>
  <si>
    <t>카라 슬림 원피스-그레이(88)</t>
    <phoneticPr fontId="1" type="noConversion"/>
  </si>
  <si>
    <t>카라 슬림 원피스-그레이(99)</t>
  </si>
  <si>
    <t>카라 슬림 원피스-그레이(99)</t>
    <phoneticPr fontId="1" type="noConversion"/>
  </si>
  <si>
    <t>ID_고객</t>
  </si>
  <si>
    <t>ID_고객</t>
    <phoneticPr fontId="1" type="noConversion"/>
  </si>
  <si>
    <t>ID_제품</t>
  </si>
  <si>
    <t>ID_제품</t>
    <phoneticPr fontId="1" type="noConversion"/>
  </si>
  <si>
    <t>수량</t>
  </si>
  <si>
    <t>수량</t>
    <phoneticPr fontId="1" type="noConversion"/>
  </si>
  <si>
    <t>금액</t>
    <phoneticPr fontId="1" type="noConversion"/>
  </si>
  <si>
    <t>ID_주문</t>
  </si>
  <si>
    <t>ID_주문</t>
    <phoneticPr fontId="1" type="noConversion"/>
  </si>
  <si>
    <t>주문번호</t>
  </si>
  <si>
    <t>주문번호</t>
    <phoneticPr fontId="1" type="noConversion"/>
  </si>
  <si>
    <t>생성시간</t>
  </si>
  <si>
    <t>생성시간</t>
    <phoneticPr fontId="1" type="noConversion"/>
  </si>
  <si>
    <t>고객정보</t>
    <phoneticPr fontId="1" type="noConversion"/>
  </si>
  <si>
    <t>주문상세</t>
    <phoneticPr fontId="1" type="noConversion"/>
  </si>
  <si>
    <t>합계</t>
    <phoneticPr fontId="1" type="noConversion"/>
  </si>
  <si>
    <t>김세민</t>
    <phoneticPr fontId="1" type="noConversion"/>
  </si>
  <si>
    <t>010-1234-1234</t>
    <phoneticPr fontId="1" type="noConversion"/>
  </si>
  <si>
    <t>전라남도 해남군</t>
    <phoneticPr fontId="1" type="noConversion"/>
  </si>
  <si>
    <t>201001-007</t>
  </si>
  <si>
    <t>201002-004</t>
  </si>
  <si>
    <t>201003-010</t>
  </si>
  <si>
    <t>201004-005</t>
  </si>
  <si>
    <t>201005-007</t>
  </si>
  <si>
    <t>201007-007</t>
  </si>
  <si>
    <t>201009-005</t>
  </si>
  <si>
    <t>201010-002</t>
  </si>
  <si>
    <t>201011-008</t>
  </si>
  <si>
    <t>201012-004</t>
  </si>
  <si>
    <t>201013-001</t>
  </si>
  <si>
    <t>201014-001</t>
  </si>
  <si>
    <t>201014-003</t>
  </si>
  <si>
    <t>201016-002</t>
  </si>
  <si>
    <t>201017-010</t>
  </si>
  <si>
    <t>201019-010</t>
  </si>
  <si>
    <t>201020-006</t>
  </si>
  <si>
    <t>201021-010</t>
  </si>
  <si>
    <t>201023-002</t>
  </si>
  <si>
    <t>201025-003</t>
  </si>
  <si>
    <t>201026-007</t>
  </si>
  <si>
    <t>201027-005</t>
  </si>
  <si>
    <t>201027-010</t>
  </si>
  <si>
    <t>주문목록</t>
    <phoneticPr fontId="1" type="noConversion"/>
  </si>
  <si>
    <t>010-1234-1234</t>
  </si>
  <si>
    <t>role</t>
    <phoneticPr fontId="1" type="noConversion"/>
  </si>
  <si>
    <t>정희엘</t>
    <phoneticPr fontId="1" type="noConversion"/>
  </si>
  <si>
    <t>010-6226-3175</t>
    <phoneticPr fontId="1" type="noConversion"/>
  </si>
  <si>
    <t>전라남도</t>
    <phoneticPr fontId="1" type="noConversion"/>
  </si>
  <si>
    <t>also</t>
    <phoneticPr fontId="1" type="noConversion"/>
  </si>
  <si>
    <t>김준용</t>
    <phoneticPr fontId="1" type="noConversion"/>
  </si>
  <si>
    <t>전라남도 영광군 백수읍 6160호 3층</t>
    <phoneticPr fontId="1" type="noConversion"/>
  </si>
  <si>
    <t>hana001</t>
    <phoneticPr fontId="1" type="noConversion"/>
  </si>
  <si>
    <t>최하나</t>
    <phoneticPr fontId="1" type="noConversion"/>
  </si>
  <si>
    <t>010-7984-7996</t>
    <phoneticPr fontId="1" type="noConversion"/>
  </si>
  <si>
    <t>서울특별시 용산구 청파동3가 1881호 3층</t>
    <phoneticPr fontId="1" type="noConversion"/>
  </si>
  <si>
    <t>test</t>
    <phoneticPr fontId="1" type="noConversion"/>
  </si>
  <si>
    <t>엄마두</t>
    <phoneticPr fontId="1" type="noConversion"/>
  </si>
  <si>
    <t>서울시</t>
    <phoneticPr fontId="1" type="noConversion"/>
  </si>
  <si>
    <t>Test001</t>
  </si>
  <si>
    <t>아빠두</t>
  </si>
  <si>
    <t>010-123-123</t>
  </si>
  <si>
    <t>강남구</t>
  </si>
  <si>
    <t>2020-10-01 오후 6:34:00</t>
  </si>
  <si>
    <t>2020-10-03 오후 8:58:00</t>
  </si>
  <si>
    <t>2020-10-04 오전 6:34:00</t>
  </si>
  <si>
    <t>2020-10-05 오후 8:58:00</t>
  </si>
  <si>
    <t>2020-10-14 오후 11:22:00</t>
  </si>
  <si>
    <t>2020-10-20 오후 8:58:00</t>
  </si>
  <si>
    <t>2020-10-23 오후 6:34:00</t>
  </si>
  <si>
    <t>2020-10-27 오전 1:46:00</t>
  </si>
  <si>
    <t>2020-10-27 오후 11:22:00</t>
  </si>
  <si>
    <t>주문상세ID</t>
  </si>
  <si>
    <t>주문ID</t>
  </si>
  <si>
    <t>고객ID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</si>
</sst>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 hh:mm"/>
  </numFmts>
  <fonts count="8" x14ac:knownFonts="1">
    <font>
      <sz val="10"/>
      <name val="Arial"/>
      <family val="2"/>
    </font>
    <font>
      <sz val="8"/>
      <name val="돋움"/>
      <family val="3"/>
      <charset val="129"/>
    </font>
    <font>
      <sz val="10"/>
      <name val="맑은 고딕"/>
      <family val="3"/>
      <charset val="129"/>
      <scheme val="major"/>
    </font>
    <font>
      <sz val="11"/>
      <color theme="1"/>
      <name val="맑은 고딕"/>
      <family val="2"/>
      <charset val="129"/>
      <scheme val="minor"/>
    </font>
    <font>
      <b/>
      <sz val="10"/>
      <name val="맑은 고딕"/>
      <family val="3"/>
      <charset val="129"/>
      <scheme val="major"/>
    </font>
    <font>
      <b/>
      <sz val="10"/>
      <color theme="0"/>
      <name val="맑은 고딕"/>
      <family val="3"/>
      <charset val="129"/>
      <scheme val="major"/>
    </font>
    <font>
      <b/>
      <sz val="8"/>
      <color rgb="FF0070C0"/>
      <name val="맑은 고딕"/>
      <family val="3"/>
      <charset val="129"/>
      <scheme val="major"/>
    </font>
    <font>
      <sz val="10"/>
      <color theme="0"/>
      <name val="맑은 고딕"/>
      <family val="3"/>
      <charset val="129"/>
      <scheme val="major"/>
    </font>
  </fonts>
  <fills count="5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1" tint="0.24994659260841701"/>
      </top>
      <bottom style="thin">
        <color theme="1" tint="0.2499465926084170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theme="1" tint="0.24994659260841701"/>
      </top>
      <bottom style="medium">
        <color theme="1" tint="0.24994659260841701"/>
      </bottom>
      <diagonal/>
    </border>
    <border>
      <left/>
      <right/>
      <top/>
      <bottom style="thin">
        <color theme="1" tint="0.24994659260841701"/>
      </bottom>
      <diagonal/>
    </border>
    <border>
      <left/>
      <right/>
      <top style="thin">
        <color theme="1" tint="0.2499465926084170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33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14" fontId="2" fillId="0" borderId="0" xfId="0" applyNumberFormat="1" applyFont="1" applyAlignment="1">
      <alignment vertical="center"/>
    </xf>
    <xf numFmtId="176" fontId="2" fillId="0" borderId="0" xfId="0" applyNumberFormat="1" applyFont="1" applyAlignment="1">
      <alignment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vertical="center"/>
    </xf>
    <xf numFmtId="3" fontId="2" fillId="0" borderId="1" xfId="0" applyNumberFormat="1" applyFont="1" applyBorder="1" applyAlignment="1">
      <alignment vertical="center"/>
    </xf>
    <xf numFmtId="0" fontId="6" fillId="0" borderId="0" xfId="0" applyFont="1" applyAlignment="1">
      <alignment vertical="center"/>
    </xf>
    <xf numFmtId="0" fontId="2" fillId="0" borderId="4" xfId="0" applyFont="1" applyBorder="1" applyAlignment="1">
      <alignment vertical="center"/>
    </xf>
    <xf numFmtId="3" fontId="2" fillId="0" borderId="4" xfId="0" applyNumberFormat="1" applyFont="1" applyBorder="1" applyAlignment="1">
      <alignment vertical="center"/>
    </xf>
    <xf numFmtId="0" fontId="4" fillId="3" borderId="3" xfId="0" applyFont="1" applyFill="1" applyBorder="1" applyAlignment="1">
      <alignment vertical="center"/>
    </xf>
    <xf numFmtId="3" fontId="4" fillId="3" borderId="3" xfId="0" applyNumberFormat="1" applyFont="1" applyFill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0" borderId="2" xfId="0" applyFont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2" fillId="0" borderId="5" xfId="0" applyFont="1" applyBorder="1" applyAlignment="1">
      <alignment vertical="center"/>
    </xf>
    <xf numFmtId="3" fontId="2" fillId="0" borderId="5" xfId="0" applyNumberFormat="1" applyFont="1" applyBorder="1" applyAlignment="1">
      <alignment vertical="center"/>
    </xf>
    <xf numFmtId="3" fontId="4" fillId="0" borderId="3" xfId="0" applyNumberFormat="1" applyFont="1" applyBorder="1" applyAlignment="1">
      <alignment vertical="center"/>
    </xf>
    <xf numFmtId="0" fontId="2" fillId="0" borderId="0" xfId="0" applyFont="1"/>
    <xf numFmtId="0" fontId="2" fillId="0" borderId="7" xfId="0" applyFont="1" applyBorder="1"/>
    <xf numFmtId="0" fontId="2" fillId="0" borderId="8" xfId="0" applyFont="1" applyBorder="1"/>
    <xf numFmtId="0" fontId="4" fillId="0" borderId="7" xfId="0" applyFont="1" applyBorder="1"/>
    <xf numFmtId="0" fontId="7" fillId="2" borderId="6" xfId="0" applyFont="1" applyFill="1" applyBorder="1"/>
    <xf numFmtId="0" fontId="2" fillId="4" borderId="0" xfId="0" applyFont="1" applyFill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0" xfId="0" applyFont="1" applyAlignment="1"/>
    <xf numFmtId="14" fontId="2" fillId="0" borderId="0" xfId="0" applyNumberFormat="1" applyFont="1" applyAlignment="1"/>
    <xf numFmtId="0" fontId="4" fillId="0" borderId="3" xfId="0" applyFont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</cellXfs>
  <cellStyles count="2">
    <cellStyle name="Normal 2" xfId="1" xr:uid="{90BC5B2A-7B27-4CB1-A805-042B3CEF5F27}"/>
    <cellStyle name="표준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146538</xdr:colOff>
      <xdr:row>0</xdr:row>
      <xdr:rowOff>58615</xdr:rowOff>
    </xdr:from>
    <xdr:to>
      <xdr:col>2</xdr:col>
      <xdr:colOff>417634</xdr:colOff>
      <xdr:row>0</xdr:row>
      <xdr:rowOff>542192</xdr:rowOff>
    </xdr:to>
    <xdr:sp macro="[0]!Openform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AF39CADF-0768-447C-A771-5A485E7C1845}"/>
            </a:ext>
          </a:extLst>
        </xdr:cNvPr>
        <xdr:cNvSpPr/>
      </xdr:nvSpPr>
      <xdr:spPr>
        <a:xfrm>
          <a:off x="146538" y="58615"/>
          <a:ext cx="1992923" cy="483577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고객 정보 수정</a:t>
          </a:r>
          <a:r>
            <a:rPr lang="en-US" altLang="ko-KR" sz="1100"/>
            <a:t>/</a:t>
          </a:r>
          <a:r>
            <a:rPr lang="ko-KR" altLang="en-US" sz="1100"/>
            <a:t>추가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172819</xdr:colOff>
      <xdr:row>7</xdr:row>
      <xdr:rowOff>10886</xdr:rowOff>
    </xdr:from>
    <xdr:to>
      <xdr:col>17</xdr:col>
      <xdr:colOff>468929</xdr:colOff>
      <xdr:row>15</xdr:row>
      <xdr:rowOff>92528</xdr:rowOff>
    </xdr:to>
    <xdr:grpSp>
      <xdr:nvGrpSpPr>
        <xdr:cNvPr id="2" name="그룹 23">
          <a:extLst>
            <a:ext uri="{FF2B5EF4-FFF2-40B4-BE49-F238E27FC236}">
              <a16:creationId xmlns:a16="http://schemas.microsoft.com/office/drawing/2014/main" id="{27E51213-E8F5-46E2-A2AD-C97B2193B5E3}"/>
            </a:ext>
          </a:extLst>
        </xdr:cNvPr>
        <xdr:cNvGrpSpPr/>
      </xdr:nvGrpSpPr>
      <xdr:grpSpPr>
        <a:xfrm>
          <a:off x="9573722" y="1626326"/>
          <a:ext cx="4685230" cy="1927859"/>
          <a:chOff x="5449989" y="4222206"/>
          <a:chExt cx="4674574" cy="2751356"/>
        </a:xfrm>
      </xdr:grpSpPr>
      <xdr:sp macro="" textlink="">
        <xdr:nvSpPr>
          <xdr:cNvPr id="3" name="직사각형 24">
            <a:extLst>
              <a:ext uri="{FF2B5EF4-FFF2-40B4-BE49-F238E27FC236}">
                <a16:creationId xmlns:a16="http://schemas.microsoft.com/office/drawing/2014/main" id="{B5968B58-B53E-4C84-82F2-13C5FB571A1F}"/>
              </a:ext>
            </a:extLst>
          </xdr:cNvPr>
          <xdr:cNvSpPr/>
        </xdr:nvSpPr>
        <xdr:spPr>
          <a:xfrm>
            <a:off x="5451374" y="4376053"/>
            <a:ext cx="4673189" cy="2597509"/>
          </a:xfrm>
          <a:prstGeom prst="rect">
            <a:avLst/>
          </a:prstGeom>
          <a:solidFill>
            <a:schemeClr val="bg1"/>
          </a:solidFill>
          <a:ln>
            <a:solidFill>
              <a:schemeClr val="tx1">
                <a:lumMod val="75000"/>
                <a:lumOff val="2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108000" rtlCol="0" anchor="t"/>
          <a:lstStyle/>
          <a:p>
            <a:pPr algn="l"/>
            <a:r>
              <a:rPr lang="en-US" altLang="ko-KR" sz="900" b="1" u="sng">
                <a:solidFill>
                  <a:sysClr val="windowText" lastClr="000000"/>
                </a:solidFill>
                <a:latin typeface="+mn-ea"/>
                <a:ea typeface="+mn-ea"/>
              </a:rPr>
              <a:t>1. </a:t>
            </a:r>
            <a:r>
              <a:rPr lang="ko-KR" altLang="en-US" sz="900" b="1" u="sng">
                <a:solidFill>
                  <a:sysClr val="windowText" lastClr="000000"/>
                </a:solidFill>
                <a:latin typeface="+mn-ea"/>
                <a:ea typeface="+mn-ea"/>
              </a:rPr>
              <a:t>데이터 유효성 검사 </a:t>
            </a:r>
            <a:r>
              <a:rPr lang="en-US" altLang="ko-KR" sz="900" b="1" u="sng">
                <a:solidFill>
                  <a:sysClr val="windowText" lastClr="000000"/>
                </a:solidFill>
                <a:latin typeface="+mn-ea"/>
                <a:ea typeface="+mn-ea"/>
              </a:rPr>
              <a:t>- </a:t>
            </a:r>
            <a:r>
              <a:rPr lang="ko-KR" altLang="en-US" sz="900" b="1" u="sng">
                <a:solidFill>
                  <a:sysClr val="windowText" lastClr="000000"/>
                </a:solidFill>
                <a:latin typeface="+mn-ea"/>
                <a:ea typeface="+mn-ea"/>
              </a:rPr>
              <a:t>목록</a:t>
            </a:r>
            <a:endParaRPr lang="en-US" altLang="ko-KR" sz="900" b="1" u="sng">
              <a:solidFill>
                <a:sysClr val="windowText" lastClr="000000"/>
              </a:solidFill>
              <a:latin typeface="+mn-ea"/>
              <a:ea typeface="+mn-ea"/>
            </a:endParaRPr>
          </a:p>
          <a:p>
            <a:pPr algn="l"/>
            <a:r>
              <a:rPr lang="en-US" altLang="ko-KR" sz="900" b="1" u="sng">
                <a:solidFill>
                  <a:srgbClr val="0070C0"/>
                </a:solidFill>
                <a:latin typeface="+mn-ea"/>
                <a:ea typeface="+mn-ea"/>
              </a:rPr>
              <a:t>https://www.oppadu.com/</a:t>
            </a:r>
            <a:r>
              <a:rPr lang="ko-KR" altLang="en-US" sz="900" b="1" u="sng">
                <a:solidFill>
                  <a:srgbClr val="0070C0"/>
                </a:solidFill>
                <a:latin typeface="+mn-ea"/>
                <a:ea typeface="+mn-ea"/>
              </a:rPr>
              <a:t>엑셀</a:t>
            </a:r>
            <a:r>
              <a:rPr lang="en-US" altLang="ko-KR" sz="900" b="1" u="sng">
                <a:solidFill>
                  <a:srgbClr val="0070C0"/>
                </a:solidFill>
                <a:latin typeface="+mn-ea"/>
                <a:ea typeface="+mn-ea"/>
              </a:rPr>
              <a:t>-</a:t>
            </a:r>
            <a:r>
              <a:rPr lang="ko-KR" altLang="en-US" sz="900" b="1" u="sng">
                <a:solidFill>
                  <a:srgbClr val="0070C0"/>
                </a:solidFill>
                <a:latin typeface="+mn-ea"/>
                <a:ea typeface="+mn-ea"/>
              </a:rPr>
              <a:t>데이터</a:t>
            </a:r>
            <a:r>
              <a:rPr lang="en-US" altLang="ko-KR" sz="900" b="1" u="sng">
                <a:solidFill>
                  <a:srgbClr val="0070C0"/>
                </a:solidFill>
                <a:latin typeface="+mn-ea"/>
                <a:ea typeface="+mn-ea"/>
              </a:rPr>
              <a:t>-</a:t>
            </a:r>
            <a:r>
              <a:rPr lang="ko-KR" altLang="en-US" sz="900" b="1" u="sng">
                <a:solidFill>
                  <a:srgbClr val="0070C0"/>
                </a:solidFill>
                <a:latin typeface="+mn-ea"/>
                <a:ea typeface="+mn-ea"/>
              </a:rPr>
              <a:t>유효성</a:t>
            </a:r>
            <a:r>
              <a:rPr lang="en-US" altLang="ko-KR" sz="900" b="1" u="sng">
                <a:solidFill>
                  <a:srgbClr val="0070C0"/>
                </a:solidFill>
                <a:latin typeface="+mn-ea"/>
                <a:ea typeface="+mn-ea"/>
              </a:rPr>
              <a:t>-</a:t>
            </a:r>
            <a:r>
              <a:rPr lang="ko-KR" altLang="en-US" sz="900" b="1" u="sng">
                <a:solidFill>
                  <a:srgbClr val="0070C0"/>
                </a:solidFill>
                <a:latin typeface="+mn-ea"/>
                <a:ea typeface="+mn-ea"/>
              </a:rPr>
              <a:t>검사</a:t>
            </a:r>
            <a:r>
              <a:rPr lang="en-US" altLang="ko-KR" sz="900" b="1" u="sng">
                <a:solidFill>
                  <a:srgbClr val="0070C0"/>
                </a:solidFill>
                <a:latin typeface="+mn-ea"/>
                <a:ea typeface="+mn-ea"/>
              </a:rPr>
              <a:t>-</a:t>
            </a:r>
            <a:r>
              <a:rPr lang="ko-KR" altLang="en-US" sz="900" b="1" u="sng">
                <a:solidFill>
                  <a:srgbClr val="0070C0"/>
                </a:solidFill>
                <a:latin typeface="+mn-ea"/>
                <a:ea typeface="+mn-ea"/>
              </a:rPr>
              <a:t>총정리</a:t>
            </a:r>
            <a:r>
              <a:rPr lang="en-US" altLang="ko-KR" sz="900" b="1" u="sng">
                <a:solidFill>
                  <a:srgbClr val="0070C0"/>
                </a:solidFill>
                <a:latin typeface="+mn-ea"/>
                <a:ea typeface="+mn-ea"/>
              </a:rPr>
              <a:t>/</a:t>
            </a:r>
          </a:p>
          <a:p>
            <a:pPr algn="l"/>
            <a:endParaRPr lang="en-US" altLang="ko-KR" sz="900" b="1" u="sng">
              <a:solidFill>
                <a:sysClr val="windowText" lastClr="000000"/>
              </a:solidFill>
              <a:latin typeface="+mn-ea"/>
              <a:ea typeface="+mn-ea"/>
            </a:endParaRPr>
          </a:p>
          <a:p>
            <a:pPr algn="l"/>
            <a:r>
              <a:rPr lang="en-US" altLang="ko-KR" sz="900" b="1" u="sng">
                <a:solidFill>
                  <a:sysClr val="windowText" lastClr="000000"/>
                </a:solidFill>
                <a:latin typeface="+mn-ea"/>
                <a:ea typeface="+mn-ea"/>
              </a:rPr>
              <a:t>2.</a:t>
            </a:r>
            <a:r>
              <a:rPr lang="en-US" altLang="ko-KR" sz="900" b="1" u="sng" baseline="0">
                <a:solidFill>
                  <a:sysClr val="windowText" lastClr="000000"/>
                </a:solidFill>
                <a:latin typeface="+mn-ea"/>
                <a:ea typeface="+mn-ea"/>
              </a:rPr>
              <a:t> INDEX/MATCH </a:t>
            </a:r>
            <a:r>
              <a:rPr lang="ko-KR" altLang="en-US" sz="900" b="1" u="sng" baseline="0">
                <a:solidFill>
                  <a:sysClr val="windowText" lastClr="000000"/>
                </a:solidFill>
                <a:latin typeface="+mn-ea"/>
                <a:ea typeface="+mn-ea"/>
              </a:rPr>
              <a:t>공식</a:t>
            </a:r>
            <a:endParaRPr lang="en-US" altLang="ko-KR" sz="900" b="1" u="sng" baseline="0">
              <a:solidFill>
                <a:sysClr val="windowText" lastClr="000000"/>
              </a:solidFill>
              <a:latin typeface="+mn-ea"/>
              <a:ea typeface="+mn-ea"/>
            </a:endParaRPr>
          </a:p>
          <a:p>
            <a:pPr algn="l"/>
            <a:r>
              <a:rPr lang="en-US" altLang="ko-KR" sz="900" b="1" u="sng" baseline="0">
                <a:solidFill>
                  <a:srgbClr val="0070C0"/>
                </a:solidFill>
                <a:latin typeface="+mn-ea"/>
                <a:ea typeface="+mn-ea"/>
              </a:rPr>
              <a:t>https://www.oppadu.com/index-match-</a:t>
            </a:r>
            <a:r>
              <a:rPr lang="ko-KR" altLang="en-US" sz="900" b="1" u="sng" baseline="0">
                <a:solidFill>
                  <a:srgbClr val="0070C0"/>
                </a:solidFill>
                <a:latin typeface="+mn-ea"/>
                <a:ea typeface="+mn-ea"/>
              </a:rPr>
              <a:t>함수</a:t>
            </a:r>
            <a:r>
              <a:rPr lang="en-US" altLang="ko-KR" sz="900" b="1" u="sng" baseline="0">
                <a:solidFill>
                  <a:srgbClr val="0070C0"/>
                </a:solidFill>
                <a:latin typeface="+mn-ea"/>
                <a:ea typeface="+mn-ea"/>
              </a:rPr>
              <a:t>/</a:t>
            </a:r>
          </a:p>
          <a:p>
            <a:pPr algn="l"/>
            <a:endParaRPr lang="en-US" altLang="ko-KR" sz="900" b="1" u="sng" baseline="0">
              <a:solidFill>
                <a:sysClr val="windowText" lastClr="000000"/>
              </a:solidFill>
              <a:latin typeface="+mn-ea"/>
              <a:ea typeface="+mn-ea"/>
            </a:endParaRPr>
          </a:p>
          <a:p>
            <a:pPr algn="l"/>
            <a:r>
              <a:rPr lang="en-US" altLang="ko-KR" sz="900" b="1" u="sng" baseline="0">
                <a:solidFill>
                  <a:sysClr val="windowText" lastClr="000000"/>
                </a:solidFill>
                <a:latin typeface="+mn-ea"/>
                <a:ea typeface="+mn-ea"/>
              </a:rPr>
              <a:t>3. VLOOKUP </a:t>
            </a:r>
            <a:r>
              <a:rPr lang="ko-KR" altLang="en-US" sz="900" b="1" u="sng" baseline="0">
                <a:solidFill>
                  <a:sysClr val="windowText" lastClr="000000"/>
                </a:solidFill>
                <a:latin typeface="+mn-ea"/>
                <a:ea typeface="+mn-ea"/>
              </a:rPr>
              <a:t>여러개 값 반환 공식</a:t>
            </a:r>
            <a:endParaRPr lang="en-US" altLang="ko-KR" sz="900" b="1" u="sng" baseline="0">
              <a:solidFill>
                <a:sysClr val="windowText" lastClr="000000"/>
              </a:solidFill>
              <a:latin typeface="+mn-ea"/>
              <a:ea typeface="+mn-ea"/>
            </a:endParaRPr>
          </a:p>
          <a:p>
            <a:pPr algn="l"/>
            <a:r>
              <a:rPr lang="en-US" altLang="ko-KR" sz="900" b="1" u="sng" baseline="0">
                <a:solidFill>
                  <a:srgbClr val="0070C0"/>
                </a:solidFill>
                <a:latin typeface="+mn-ea"/>
                <a:ea typeface="+mn-ea"/>
              </a:rPr>
              <a:t>https://www.oppadu.com/vlookup-</a:t>
            </a:r>
            <a:r>
              <a:rPr lang="ko-KR" altLang="en-US" sz="900" b="1" u="sng" baseline="0">
                <a:solidFill>
                  <a:srgbClr val="0070C0"/>
                </a:solidFill>
                <a:latin typeface="+mn-ea"/>
                <a:ea typeface="+mn-ea"/>
              </a:rPr>
              <a:t>함수</a:t>
            </a:r>
            <a:r>
              <a:rPr lang="en-US" altLang="ko-KR" sz="900" b="1" u="sng" baseline="0">
                <a:solidFill>
                  <a:srgbClr val="0070C0"/>
                </a:solidFill>
                <a:latin typeface="+mn-ea"/>
                <a:ea typeface="+mn-ea"/>
              </a:rPr>
              <a:t>-</a:t>
            </a:r>
            <a:r>
              <a:rPr lang="ko-KR" altLang="en-US" sz="900" b="1" u="sng" baseline="0">
                <a:solidFill>
                  <a:srgbClr val="0070C0"/>
                </a:solidFill>
                <a:latin typeface="+mn-ea"/>
                <a:ea typeface="+mn-ea"/>
              </a:rPr>
              <a:t>여러개</a:t>
            </a:r>
            <a:r>
              <a:rPr lang="en-US" altLang="ko-KR" sz="900" b="1" u="sng" baseline="0">
                <a:solidFill>
                  <a:srgbClr val="0070C0"/>
                </a:solidFill>
                <a:latin typeface="+mn-ea"/>
                <a:ea typeface="+mn-ea"/>
              </a:rPr>
              <a:t>-</a:t>
            </a:r>
            <a:r>
              <a:rPr lang="ko-KR" altLang="en-US" sz="900" b="1" u="sng" baseline="0">
                <a:solidFill>
                  <a:srgbClr val="0070C0"/>
                </a:solidFill>
                <a:latin typeface="+mn-ea"/>
                <a:ea typeface="+mn-ea"/>
              </a:rPr>
              <a:t>값</a:t>
            </a:r>
            <a:r>
              <a:rPr lang="en-US" altLang="ko-KR" sz="900" b="1" u="sng" baseline="0">
                <a:solidFill>
                  <a:srgbClr val="0070C0"/>
                </a:solidFill>
                <a:latin typeface="+mn-ea"/>
                <a:ea typeface="+mn-ea"/>
              </a:rPr>
              <a:t>-</a:t>
            </a:r>
            <a:r>
              <a:rPr lang="ko-KR" altLang="en-US" sz="900" b="1" u="sng" baseline="0">
                <a:solidFill>
                  <a:srgbClr val="0070C0"/>
                </a:solidFill>
                <a:latin typeface="+mn-ea"/>
                <a:ea typeface="+mn-ea"/>
              </a:rPr>
              <a:t>출력</a:t>
            </a:r>
            <a:r>
              <a:rPr lang="en-US" altLang="ko-KR" sz="900" b="1" u="sng" baseline="0">
                <a:solidFill>
                  <a:srgbClr val="0070C0"/>
                </a:solidFill>
                <a:latin typeface="+mn-ea"/>
                <a:ea typeface="+mn-ea"/>
              </a:rPr>
              <a:t>/</a:t>
            </a:r>
            <a:endParaRPr lang="en-US" altLang="ko-KR" sz="900" b="1">
              <a:solidFill>
                <a:srgbClr val="0070C0"/>
              </a:solidFill>
              <a:latin typeface="+mn-ea"/>
              <a:ea typeface="+mn-ea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4B81BB31-380F-475B-B3E4-B9BCA9A4E252}"/>
              </a:ext>
            </a:extLst>
          </xdr:cNvPr>
          <xdr:cNvSpPr txBox="1"/>
        </xdr:nvSpPr>
        <xdr:spPr>
          <a:xfrm>
            <a:off x="5449989" y="4222206"/>
            <a:ext cx="1377887" cy="280200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 w="12700" cmpd="sng">
            <a:solidFill>
              <a:schemeClr val="tx1">
                <a:lumMod val="75000"/>
                <a:lumOff val="2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bg1"/>
                </a:solidFill>
                <a:latin typeface="+mj-ea"/>
                <a:ea typeface="+mj-ea"/>
              </a:rPr>
              <a:t>사용된 기능</a:t>
            </a:r>
            <a:r>
              <a:rPr lang="en-US" altLang="ko-KR" sz="900" b="1">
                <a:solidFill>
                  <a:schemeClr val="bg1"/>
                </a:solidFill>
                <a:latin typeface="+mj-ea"/>
                <a:ea typeface="+mj-ea"/>
              </a:rPr>
              <a:t>/</a:t>
            </a:r>
            <a:r>
              <a:rPr lang="ko-KR" altLang="en-US" sz="900" b="1">
                <a:solidFill>
                  <a:schemeClr val="bg1"/>
                </a:solidFill>
                <a:latin typeface="+mj-ea"/>
                <a:ea typeface="+mj-ea"/>
              </a:rPr>
              <a:t>공식</a:t>
            </a:r>
          </a:p>
        </xdr:txBody>
      </xdr:sp>
      <xdr:pic>
        <xdr:nvPicPr>
          <xdr:cNvPr id="5" name="그래픽 26" descr="전구 및 기어 ">
            <a:extLst>
              <a:ext uri="{FF2B5EF4-FFF2-40B4-BE49-F238E27FC236}">
                <a16:creationId xmlns:a16="http://schemas.microsoft.com/office/drawing/2014/main" id="{98F13B56-29D6-41F6-AF7F-00656CEB4CB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495962" y="4228324"/>
            <a:ext cx="185055" cy="264881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533400</xdr:colOff>
      <xdr:row>2</xdr:row>
      <xdr:rowOff>97972</xdr:rowOff>
    </xdr:from>
    <xdr:to>
      <xdr:col>2</xdr:col>
      <xdr:colOff>424543</xdr:colOff>
      <xdr:row>3</xdr:row>
      <xdr:rowOff>119743</xdr:rowOff>
    </xdr:to>
    <xdr:cxnSp macro="">
      <xdr:nvCxnSpPr>
        <xdr:cNvPr id="3" name="연결선: 꺾임 2">
          <a:extLst>
            <a:ext uri="{FF2B5EF4-FFF2-40B4-BE49-F238E27FC236}">
              <a16:creationId xmlns:a16="http://schemas.microsoft.com/office/drawing/2014/main" id="{C43841C4-322F-47B0-9E0A-E62DACE668AF}"/>
            </a:ext>
          </a:extLst>
        </xdr:cNvPr>
        <xdr:cNvCxnSpPr/>
      </xdr:nvCxnSpPr>
      <xdr:spPr>
        <a:xfrm>
          <a:off x="1143000" y="555172"/>
          <a:ext cx="718457" cy="250371"/>
        </a:xfrm>
        <a:prstGeom prst="bentConnector3">
          <a:avLst>
            <a:gd name="adj1" fmla="val 50000"/>
          </a:avLst>
        </a:prstGeom>
        <a:ln w="127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506185</xdr:colOff>
      <xdr:row>2</xdr:row>
      <xdr:rowOff>114300</xdr:rowOff>
    </xdr:from>
    <xdr:to>
      <xdr:col>4</xdr:col>
      <xdr:colOff>397328</xdr:colOff>
      <xdr:row>3</xdr:row>
      <xdr:rowOff>136071</xdr:rowOff>
    </xdr:to>
    <xdr:cxnSp macro="">
      <xdr:nvCxnSpPr>
        <xdr:cNvPr id="7" name="연결선: 꺾임 6">
          <a:extLst>
            <a:ext uri="{FF2B5EF4-FFF2-40B4-BE49-F238E27FC236}">
              <a16:creationId xmlns:a16="http://schemas.microsoft.com/office/drawing/2014/main" id="{B14DAC57-0ADC-45A7-9F20-407E03848E5B}"/>
            </a:ext>
          </a:extLst>
        </xdr:cNvPr>
        <xdr:cNvCxnSpPr/>
      </xdr:nvCxnSpPr>
      <xdr:spPr>
        <a:xfrm>
          <a:off x="2422071" y="571500"/>
          <a:ext cx="718457" cy="250371"/>
        </a:xfrm>
        <a:prstGeom prst="bentConnector3">
          <a:avLst>
            <a:gd name="adj1" fmla="val 56061"/>
          </a:avLst>
        </a:prstGeom>
        <a:ln w="127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625930</xdr:colOff>
      <xdr:row>2</xdr:row>
      <xdr:rowOff>136070</xdr:rowOff>
    </xdr:from>
    <xdr:to>
      <xdr:col>6</xdr:col>
      <xdr:colOff>413658</xdr:colOff>
      <xdr:row>4</xdr:row>
      <xdr:rowOff>125185</xdr:rowOff>
    </xdr:to>
    <xdr:cxnSp macro="">
      <xdr:nvCxnSpPr>
        <xdr:cNvPr id="8" name="연결선: 꺾임 7">
          <a:extLst>
            <a:ext uri="{FF2B5EF4-FFF2-40B4-BE49-F238E27FC236}">
              <a16:creationId xmlns:a16="http://schemas.microsoft.com/office/drawing/2014/main" id="{D7C0BB66-B051-46BD-AAB9-97EAE842814F}"/>
            </a:ext>
          </a:extLst>
        </xdr:cNvPr>
        <xdr:cNvCxnSpPr/>
      </xdr:nvCxnSpPr>
      <xdr:spPr>
        <a:xfrm rot="10800000" flipV="1">
          <a:off x="3810001" y="593270"/>
          <a:ext cx="615043" cy="446315"/>
        </a:xfrm>
        <a:prstGeom prst="bentConnector3">
          <a:avLst>
            <a:gd name="adj1" fmla="val 44690"/>
          </a:avLst>
        </a:prstGeom>
        <a:ln w="127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105CD-3754-4590-872D-4CD61C91F590}">
  <sheetPr codeName="shtTest">
    <tabColor rgb="FFFFFF00"/>
  </sheetPr>
  <dimension ref="A1:K11"/>
  <sheetViews>
    <sheetView tabSelected="1" zoomScale="145" zoomScaleNormal="145" workbookViewId="0"/>
  </sheetViews>
  <sheetFormatPr defaultColWidth="9.109375" defaultRowHeight="18" customHeight="1" x14ac:dyDescent="0.35"/>
  <cols>
    <col min="1" max="1" width="12" style="20" customWidth="1"/>
    <col min="2" max="5" width="9.109375" style="20"/>
    <col min="6" max="6" width="9.6640625" style="20" customWidth="1"/>
    <col min="7" max="7" width="11" style="20" customWidth="1"/>
    <col min="8" max="8" width="25" style="20" customWidth="1"/>
    <col min="9" max="9" width="36" style="20" bestFit="1" customWidth="1"/>
    <col min="10" max="10" width="8.88671875" style="20" customWidth="1"/>
    <col min="11" max="11" width="14.33203125" style="20" bestFit="1" customWidth="1"/>
    <col min="12" max="16384" width="9.109375" style="20"/>
  </cols>
  <sheetData>
    <row r="1" spans="1:11" ht="18" customHeight="1" x14ac:dyDescent="0.35">
      <c r="A1" s="20" t="s">
        <v>165</v>
      </c>
      <c r="B1" s="20" t="s">
        <v>166</v>
      </c>
      <c r="C1" s="20" t="s">
        <v>167</v>
      </c>
      <c r="D1" s="20" t="s">
        <v>98</v>
      </c>
      <c r="E1" s="20" t="s">
        <v>5</v>
      </c>
      <c r="F1" s="20" t="s">
        <v>167</v>
      </c>
      <c r="G1" s="20" t="s">
        <v>103</v>
      </c>
      <c r="H1" s="20" t="s">
        <v>105</v>
      </c>
      <c r="I1" s="20" t="s">
        <v>3</v>
      </c>
      <c r="J1" s="20" t="s">
        <v>12</v>
      </c>
      <c r="K1" s="20" t="s">
        <v>16</v>
      </c>
    </row>
    <row r="2" spans="1:11" ht="18" customHeight="1" x14ac:dyDescent="0.35">
      <c r="A2" s="20">
        <v>1</v>
      </c>
      <c r="B2" s="20">
        <v>1</v>
      </c>
      <c r="C2" s="20">
        <v>24</v>
      </c>
      <c r="D2" s="20">
        <v>1</v>
      </c>
      <c r="E2" s="20">
        <v>23200</v>
      </c>
      <c r="F2" s="20">
        <v>13</v>
      </c>
      <c r="G2" s="20" t="s">
        <v>113</v>
      </c>
      <c r="H2" s="20" t="s">
        <v>156</v>
      </c>
      <c r="I2" s="20" t="s">
        <v>92</v>
      </c>
      <c r="J2" s="20" t="s">
        <v>31</v>
      </c>
      <c r="K2" s="20" t="s">
        <v>52</v>
      </c>
    </row>
    <row r="3" spans="1:11" ht="18" customHeight="1" x14ac:dyDescent="0.35">
      <c r="A3" s="20">
        <v>7</v>
      </c>
      <c r="B3" s="20">
        <v>3</v>
      </c>
      <c r="C3" s="20">
        <v>23</v>
      </c>
      <c r="D3" s="20">
        <v>1</v>
      </c>
      <c r="E3" s="20">
        <v>23200</v>
      </c>
      <c r="F3" s="20">
        <v>1</v>
      </c>
      <c r="G3" s="20" t="s">
        <v>115</v>
      </c>
      <c r="H3" s="20" t="s">
        <v>157</v>
      </c>
      <c r="I3" s="20" t="s">
        <v>90</v>
      </c>
      <c r="J3" s="20" t="s">
        <v>20</v>
      </c>
      <c r="K3" s="20" t="s">
        <v>137</v>
      </c>
    </row>
    <row r="4" spans="1:11" ht="18" customHeight="1" x14ac:dyDescent="0.35">
      <c r="A4" s="20">
        <v>11</v>
      </c>
      <c r="B4" s="20">
        <v>4</v>
      </c>
      <c r="C4" s="20">
        <v>24</v>
      </c>
      <c r="D4" s="20">
        <v>2</v>
      </c>
      <c r="E4" s="20">
        <v>23200</v>
      </c>
      <c r="F4" s="20">
        <v>6</v>
      </c>
      <c r="G4" s="20" t="s">
        <v>116</v>
      </c>
      <c r="H4" s="20" t="s">
        <v>158</v>
      </c>
      <c r="I4" s="20" t="s">
        <v>92</v>
      </c>
      <c r="J4" s="20" t="s">
        <v>25</v>
      </c>
      <c r="K4" s="20" t="s">
        <v>47</v>
      </c>
    </row>
    <row r="5" spans="1:11" ht="18" customHeight="1" x14ac:dyDescent="0.35">
      <c r="A5" s="20">
        <v>12</v>
      </c>
      <c r="B5" s="20">
        <v>5</v>
      </c>
      <c r="C5" s="20">
        <v>21</v>
      </c>
      <c r="D5" s="20">
        <v>2</v>
      </c>
      <c r="E5" s="20">
        <v>23200</v>
      </c>
      <c r="F5" s="20">
        <v>1</v>
      </c>
      <c r="G5" s="20" t="s">
        <v>117</v>
      </c>
      <c r="H5" s="20" t="s">
        <v>159</v>
      </c>
      <c r="I5" s="20" t="s">
        <v>86</v>
      </c>
      <c r="J5" s="20" t="s">
        <v>20</v>
      </c>
      <c r="K5" s="20" t="s">
        <v>137</v>
      </c>
    </row>
    <row r="6" spans="1:11" ht="18" customHeight="1" x14ac:dyDescent="0.35">
      <c r="A6" s="20">
        <v>14</v>
      </c>
      <c r="B6" s="20">
        <v>5</v>
      </c>
      <c r="C6" s="20">
        <v>24</v>
      </c>
      <c r="D6" s="20">
        <v>2</v>
      </c>
      <c r="E6" s="20">
        <v>23200</v>
      </c>
      <c r="F6" s="20">
        <v>1</v>
      </c>
      <c r="G6" s="20" t="s">
        <v>117</v>
      </c>
      <c r="H6" s="20" t="s">
        <v>159</v>
      </c>
      <c r="I6" s="20" t="s">
        <v>92</v>
      </c>
      <c r="J6" s="20" t="s">
        <v>20</v>
      </c>
      <c r="K6" s="20" t="s">
        <v>137</v>
      </c>
    </row>
    <row r="7" spans="1:11" ht="18" customHeight="1" x14ac:dyDescent="0.35">
      <c r="A7" s="20">
        <v>37</v>
      </c>
      <c r="B7" s="20">
        <v>13</v>
      </c>
      <c r="C7" s="20">
        <v>23</v>
      </c>
      <c r="D7" s="20">
        <v>3</v>
      </c>
      <c r="E7" s="20">
        <v>23200</v>
      </c>
      <c r="F7" s="20">
        <v>9</v>
      </c>
      <c r="G7" s="20" t="s">
        <v>125</v>
      </c>
      <c r="H7" s="20" t="s">
        <v>160</v>
      </c>
      <c r="I7" s="20" t="s">
        <v>90</v>
      </c>
      <c r="J7" s="20" t="s">
        <v>28</v>
      </c>
      <c r="K7" s="20" t="s">
        <v>137</v>
      </c>
    </row>
    <row r="8" spans="1:11" ht="18" customHeight="1" x14ac:dyDescent="0.35">
      <c r="A8" s="20">
        <v>53</v>
      </c>
      <c r="B8" s="20">
        <v>17</v>
      </c>
      <c r="C8" s="20">
        <v>24</v>
      </c>
      <c r="D8" s="20">
        <v>2</v>
      </c>
      <c r="E8" s="20">
        <v>23200</v>
      </c>
      <c r="F8" s="20">
        <v>9</v>
      </c>
      <c r="G8" s="20" t="s">
        <v>129</v>
      </c>
      <c r="H8" s="20" t="s">
        <v>161</v>
      </c>
      <c r="I8" s="20" t="s">
        <v>92</v>
      </c>
      <c r="J8" s="20" t="s">
        <v>28</v>
      </c>
      <c r="K8" s="20" t="s">
        <v>137</v>
      </c>
    </row>
    <row r="9" spans="1:11" ht="18" customHeight="1" x14ac:dyDescent="0.35">
      <c r="A9" s="20">
        <v>55</v>
      </c>
      <c r="B9" s="20">
        <v>19</v>
      </c>
      <c r="C9" s="20">
        <v>23</v>
      </c>
      <c r="D9" s="20">
        <v>1</v>
      </c>
      <c r="E9" s="20">
        <v>23200</v>
      </c>
      <c r="F9" s="20">
        <v>4</v>
      </c>
      <c r="G9" s="20" t="s">
        <v>131</v>
      </c>
      <c r="H9" s="20" t="s">
        <v>162</v>
      </c>
      <c r="I9" s="20" t="s">
        <v>90</v>
      </c>
      <c r="J9" s="20" t="s">
        <v>23</v>
      </c>
      <c r="K9" s="20" t="s">
        <v>45</v>
      </c>
    </row>
    <row r="10" spans="1:11" ht="18" customHeight="1" x14ac:dyDescent="0.35">
      <c r="A10" s="20">
        <v>63</v>
      </c>
      <c r="B10" s="20">
        <v>22</v>
      </c>
      <c r="C10" s="20">
        <v>24</v>
      </c>
      <c r="D10" s="20">
        <v>2</v>
      </c>
      <c r="E10" s="20">
        <v>23200</v>
      </c>
      <c r="F10" s="20">
        <v>4</v>
      </c>
      <c r="G10" s="20" t="s">
        <v>134</v>
      </c>
      <c r="H10" s="20" t="s">
        <v>163</v>
      </c>
      <c r="I10" s="20" t="s">
        <v>92</v>
      </c>
      <c r="J10" s="20" t="s">
        <v>23</v>
      </c>
      <c r="K10" s="20" t="s">
        <v>45</v>
      </c>
    </row>
    <row r="11" spans="1:11" ht="18" customHeight="1" x14ac:dyDescent="0.35">
      <c r="A11" s="20">
        <v>67</v>
      </c>
      <c r="B11" s="20">
        <v>23</v>
      </c>
      <c r="C11" s="20">
        <v>21</v>
      </c>
      <c r="D11" s="20">
        <v>2</v>
      </c>
      <c r="E11" s="20">
        <v>23200</v>
      </c>
      <c r="F11" s="20">
        <v>8</v>
      </c>
      <c r="G11" s="20" t="s">
        <v>135</v>
      </c>
      <c r="H11" s="20" t="s">
        <v>164</v>
      </c>
      <c r="I11" s="20" t="s">
        <v>86</v>
      </c>
      <c r="J11" s="20" t="s">
        <v>27</v>
      </c>
      <c r="K11" s="20" t="s">
        <v>49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B113E-330F-4E0F-AC75-E226717B0963}">
  <sheetPr codeName="shtProduct">
    <tabColor rgb="FFFFFF00"/>
  </sheetPr>
  <dimension ref="A1:E25"/>
  <sheetViews>
    <sheetView zoomScale="160" zoomScaleNormal="160" workbookViewId="0"/>
  </sheetViews>
  <sheetFormatPr defaultColWidth="9.109375" defaultRowHeight="18" customHeight="1" x14ac:dyDescent="0.25"/>
  <cols>
    <col min="1" max="1" width="7.88671875" style="1" customWidth="1"/>
    <col min="2" max="2" width="36.44140625" style="26" customWidth="1"/>
    <col min="3" max="3" width="10.109375" style="1" customWidth="1"/>
    <col min="4" max="4" width="9.44140625" style="1" customWidth="1"/>
    <col min="5" max="16384" width="9.109375" style="1"/>
  </cols>
  <sheetData>
    <row r="1" spans="1:5" ht="18" customHeight="1" x14ac:dyDescent="0.25">
      <c r="A1" s="1" t="s">
        <v>0</v>
      </c>
      <c r="B1" s="26" t="s">
        <v>4</v>
      </c>
      <c r="C1" s="1" t="s">
        <v>10</v>
      </c>
      <c r="D1" s="1" t="s">
        <v>8</v>
      </c>
      <c r="E1" s="25">
        <v>25</v>
      </c>
    </row>
    <row r="2" spans="1:5" ht="18" customHeight="1" x14ac:dyDescent="0.25">
      <c r="A2" s="1">
        <v>1</v>
      </c>
      <c r="B2" s="26" t="s">
        <v>69</v>
      </c>
      <c r="C2" s="1" t="s">
        <v>81</v>
      </c>
      <c r="D2" s="1">
        <v>66</v>
      </c>
    </row>
    <row r="3" spans="1:5" ht="18" customHeight="1" x14ac:dyDescent="0.25">
      <c r="A3" s="1">
        <v>2</v>
      </c>
      <c r="B3" s="26" t="s">
        <v>70</v>
      </c>
      <c r="C3" s="1" t="s">
        <v>81</v>
      </c>
      <c r="D3" s="1">
        <v>77</v>
      </c>
    </row>
    <row r="4" spans="1:5" ht="18" customHeight="1" x14ac:dyDescent="0.25">
      <c r="A4" s="1">
        <v>3</v>
      </c>
      <c r="B4" s="26" t="s">
        <v>71</v>
      </c>
      <c r="C4" s="1" t="s">
        <v>81</v>
      </c>
      <c r="D4" s="1">
        <v>88</v>
      </c>
    </row>
    <row r="5" spans="1:5" ht="18" customHeight="1" x14ac:dyDescent="0.25">
      <c r="A5" s="1">
        <v>4</v>
      </c>
      <c r="B5" s="26" t="s">
        <v>72</v>
      </c>
      <c r="C5" s="1" t="s">
        <v>81</v>
      </c>
      <c r="D5" s="1">
        <v>99</v>
      </c>
    </row>
    <row r="6" spans="1:5" ht="18" customHeight="1" x14ac:dyDescent="0.25">
      <c r="A6" s="1">
        <v>5</v>
      </c>
      <c r="B6" s="26" t="s">
        <v>73</v>
      </c>
      <c r="C6" s="1" t="s">
        <v>84</v>
      </c>
      <c r="D6" s="1">
        <v>66</v>
      </c>
    </row>
    <row r="7" spans="1:5" ht="18" customHeight="1" x14ac:dyDescent="0.25">
      <c r="A7" s="1">
        <v>6</v>
      </c>
      <c r="B7" s="26" t="s">
        <v>74</v>
      </c>
      <c r="C7" s="1" t="s">
        <v>82</v>
      </c>
      <c r="D7" s="1">
        <v>77</v>
      </c>
    </row>
    <row r="8" spans="1:5" ht="18" customHeight="1" x14ac:dyDescent="0.25">
      <c r="A8" s="1">
        <v>7</v>
      </c>
      <c r="B8" s="26" t="s">
        <v>75</v>
      </c>
      <c r="C8" s="1" t="s">
        <v>82</v>
      </c>
      <c r="D8" s="1">
        <v>88</v>
      </c>
    </row>
    <row r="9" spans="1:5" ht="18" customHeight="1" x14ac:dyDescent="0.25">
      <c r="A9" s="1">
        <v>8</v>
      </c>
      <c r="B9" s="26" t="s">
        <v>76</v>
      </c>
      <c r="C9" s="1" t="s">
        <v>82</v>
      </c>
      <c r="D9" s="1">
        <v>99</v>
      </c>
    </row>
    <row r="10" spans="1:5" ht="18" customHeight="1" x14ac:dyDescent="0.25">
      <c r="A10" s="1">
        <v>9</v>
      </c>
      <c r="B10" s="26" t="s">
        <v>65</v>
      </c>
      <c r="C10" s="1" t="s">
        <v>82</v>
      </c>
      <c r="D10" s="1">
        <v>66</v>
      </c>
    </row>
    <row r="11" spans="1:5" ht="18" customHeight="1" x14ac:dyDescent="0.25">
      <c r="A11" s="1">
        <v>10</v>
      </c>
      <c r="B11" s="26" t="s">
        <v>66</v>
      </c>
      <c r="C11" s="1" t="s">
        <v>82</v>
      </c>
      <c r="D11" s="1">
        <v>77</v>
      </c>
    </row>
    <row r="12" spans="1:5" ht="18" customHeight="1" x14ac:dyDescent="0.25">
      <c r="A12" s="1">
        <v>11</v>
      </c>
      <c r="B12" s="26" t="s">
        <v>67</v>
      </c>
      <c r="C12" s="1" t="s">
        <v>82</v>
      </c>
      <c r="D12" s="1">
        <v>88</v>
      </c>
    </row>
    <row r="13" spans="1:5" ht="18" customHeight="1" x14ac:dyDescent="0.25">
      <c r="A13" s="1">
        <v>12</v>
      </c>
      <c r="B13" s="26" t="s">
        <v>68</v>
      </c>
      <c r="C13" s="1" t="s">
        <v>82</v>
      </c>
      <c r="D13" s="1">
        <v>99</v>
      </c>
    </row>
    <row r="14" spans="1:5" ht="18" customHeight="1" x14ac:dyDescent="0.25">
      <c r="A14" s="1">
        <v>13</v>
      </c>
      <c r="B14" s="26" t="s">
        <v>77</v>
      </c>
      <c r="C14" s="1" t="s">
        <v>83</v>
      </c>
      <c r="D14" s="1">
        <v>66</v>
      </c>
    </row>
    <row r="15" spans="1:5" ht="18" customHeight="1" x14ac:dyDescent="0.25">
      <c r="A15" s="1">
        <v>14</v>
      </c>
      <c r="B15" s="26" t="s">
        <v>78</v>
      </c>
      <c r="C15" s="1" t="s">
        <v>83</v>
      </c>
      <c r="D15" s="1">
        <v>77</v>
      </c>
    </row>
    <row r="16" spans="1:5" ht="18" customHeight="1" x14ac:dyDescent="0.25">
      <c r="A16" s="1">
        <v>15</v>
      </c>
      <c r="B16" s="26" t="s">
        <v>79</v>
      </c>
      <c r="C16" s="1" t="s">
        <v>83</v>
      </c>
      <c r="D16" s="1">
        <v>88</v>
      </c>
    </row>
    <row r="17" spans="1:4" ht="18" customHeight="1" x14ac:dyDescent="0.25">
      <c r="A17" s="1">
        <v>16</v>
      </c>
      <c r="B17" s="26" t="s">
        <v>80</v>
      </c>
      <c r="C17" s="1" t="s">
        <v>83</v>
      </c>
      <c r="D17" s="1">
        <v>99</v>
      </c>
    </row>
    <row r="18" spans="1:4" ht="18" customHeight="1" x14ac:dyDescent="0.25">
      <c r="A18" s="1">
        <v>17</v>
      </c>
      <c r="B18" s="26" t="s">
        <v>85</v>
      </c>
      <c r="C18" s="1" t="s">
        <v>83</v>
      </c>
      <c r="D18" s="1">
        <v>66</v>
      </c>
    </row>
    <row r="19" spans="1:4" ht="18" customHeight="1" x14ac:dyDescent="0.25">
      <c r="A19" s="1">
        <v>18</v>
      </c>
      <c r="B19" s="26" t="s">
        <v>85</v>
      </c>
      <c r="C19" s="1" t="s">
        <v>83</v>
      </c>
      <c r="D19" s="1">
        <v>77</v>
      </c>
    </row>
    <row r="20" spans="1:4" ht="18" customHeight="1" x14ac:dyDescent="0.25">
      <c r="A20" s="1">
        <v>19</v>
      </c>
      <c r="B20" s="26" t="s">
        <v>85</v>
      </c>
      <c r="C20" s="1" t="s">
        <v>83</v>
      </c>
      <c r="D20" s="1">
        <v>88</v>
      </c>
    </row>
    <row r="21" spans="1:4" ht="18" customHeight="1" x14ac:dyDescent="0.25">
      <c r="A21" s="1">
        <v>20</v>
      </c>
      <c r="B21" s="26" t="s">
        <v>85</v>
      </c>
      <c r="C21" s="1" t="s">
        <v>83</v>
      </c>
      <c r="D21" s="1">
        <v>99</v>
      </c>
    </row>
    <row r="22" spans="1:4" ht="18" customHeight="1" x14ac:dyDescent="0.25">
      <c r="A22" s="1">
        <v>21</v>
      </c>
      <c r="B22" s="26" t="s">
        <v>87</v>
      </c>
      <c r="C22" s="1" t="s">
        <v>88</v>
      </c>
      <c r="D22" s="1">
        <v>66</v>
      </c>
    </row>
    <row r="23" spans="1:4" ht="18" customHeight="1" x14ac:dyDescent="0.25">
      <c r="A23" s="1">
        <v>22</v>
      </c>
      <c r="B23" s="26" t="s">
        <v>89</v>
      </c>
      <c r="C23" s="1" t="s">
        <v>88</v>
      </c>
      <c r="D23" s="1">
        <v>77</v>
      </c>
    </row>
    <row r="24" spans="1:4" ht="18" customHeight="1" x14ac:dyDescent="0.25">
      <c r="A24" s="1">
        <v>23</v>
      </c>
      <c r="B24" s="26" t="s">
        <v>91</v>
      </c>
      <c r="C24" s="1" t="s">
        <v>88</v>
      </c>
      <c r="D24" s="1">
        <v>88</v>
      </c>
    </row>
    <row r="25" spans="1:4" ht="18" customHeight="1" x14ac:dyDescent="0.25">
      <c r="A25" s="1">
        <v>24</v>
      </c>
      <c r="B25" s="26" t="s">
        <v>93</v>
      </c>
      <c r="C25" s="1" t="s">
        <v>88</v>
      </c>
      <c r="D25" s="1">
        <v>99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09E5E-DCDE-4005-9B57-E1737C24D242}">
  <sheetPr codeName="shtCustomer">
    <tabColor rgb="FFFFFF00"/>
  </sheetPr>
  <dimension ref="A1:G17"/>
  <sheetViews>
    <sheetView zoomScale="130" zoomScaleNormal="130" workbookViewId="0">
      <pane ySplit="1" topLeftCell="A2" activePane="bottomLeft" state="frozen"/>
      <selection pane="bottomLeft" activeCell="A2" sqref="A2"/>
    </sheetView>
  </sheetViews>
  <sheetFormatPr defaultColWidth="9.109375" defaultRowHeight="18" customHeight="1" x14ac:dyDescent="0.25"/>
  <cols>
    <col min="1" max="1" width="7.6640625" style="1" customWidth="1"/>
    <col min="2" max="2" width="18.109375" style="1" customWidth="1"/>
    <col min="3" max="3" width="10.33203125" style="1" customWidth="1"/>
    <col min="4" max="4" width="14.6640625" style="1" customWidth="1"/>
    <col min="5" max="5" width="45.88671875" style="1" customWidth="1"/>
    <col min="6" max="6" width="14.109375" style="3" customWidth="1"/>
    <col min="7" max="16384" width="9.109375" style="1"/>
  </cols>
  <sheetData>
    <row r="1" spans="1:7" ht="64.5" customHeight="1" x14ac:dyDescent="0.35">
      <c r="A1" s="27" t="s">
        <v>0</v>
      </c>
      <c r="B1" s="27" t="s">
        <v>15</v>
      </c>
      <c r="C1" s="27" t="s">
        <v>13</v>
      </c>
      <c r="D1" s="27" t="s">
        <v>1</v>
      </c>
      <c r="E1" s="27" t="s">
        <v>2</v>
      </c>
      <c r="F1" s="28" t="s">
        <v>19</v>
      </c>
      <c r="G1" s="25">
        <v>33</v>
      </c>
    </row>
    <row r="2" spans="1:7" ht="18" customHeight="1" x14ac:dyDescent="0.25">
      <c r="A2" s="1">
        <v>1</v>
      </c>
      <c r="B2" s="1" t="s">
        <v>59</v>
      </c>
      <c r="C2" s="1" t="s">
        <v>110</v>
      </c>
      <c r="D2" s="1" t="s">
        <v>111</v>
      </c>
      <c r="E2" s="2" t="s">
        <v>112</v>
      </c>
      <c r="F2" s="3">
        <v>43831</v>
      </c>
    </row>
    <row r="3" spans="1:7" ht="18" customHeight="1" x14ac:dyDescent="0.25">
      <c r="A3" s="1">
        <v>2</v>
      </c>
      <c r="B3" s="1" t="s">
        <v>60</v>
      </c>
      <c r="C3" s="1" t="s">
        <v>21</v>
      </c>
      <c r="D3" s="1" t="s">
        <v>43</v>
      </c>
      <c r="E3" s="2" t="s">
        <v>33</v>
      </c>
      <c r="F3" s="3">
        <v>43855</v>
      </c>
    </row>
    <row r="4" spans="1:7" ht="18" customHeight="1" x14ac:dyDescent="0.25">
      <c r="A4" s="1">
        <v>3</v>
      </c>
      <c r="B4" s="1" t="s">
        <v>54</v>
      </c>
      <c r="C4" s="1" t="s">
        <v>22</v>
      </c>
      <c r="D4" s="1" t="s">
        <v>44</v>
      </c>
      <c r="E4" s="2" t="s">
        <v>34</v>
      </c>
      <c r="F4" s="3">
        <v>43872</v>
      </c>
    </row>
    <row r="5" spans="1:7" ht="18" customHeight="1" x14ac:dyDescent="0.25">
      <c r="A5" s="1">
        <v>4</v>
      </c>
      <c r="B5" s="1" t="s">
        <v>138</v>
      </c>
      <c r="C5" s="1" t="s">
        <v>139</v>
      </c>
      <c r="D5" s="1" t="s">
        <v>140</v>
      </c>
      <c r="E5" s="2" t="s">
        <v>141</v>
      </c>
      <c r="F5" s="3">
        <v>43883</v>
      </c>
    </row>
    <row r="6" spans="1:7" ht="18" customHeight="1" x14ac:dyDescent="0.25">
      <c r="A6" s="1">
        <v>5</v>
      </c>
      <c r="B6" s="1" t="s">
        <v>61</v>
      </c>
      <c r="C6" s="1" t="s">
        <v>24</v>
      </c>
      <c r="D6" s="1" t="s">
        <v>46</v>
      </c>
      <c r="E6" s="2" t="s">
        <v>35</v>
      </c>
      <c r="F6" s="3">
        <v>43905</v>
      </c>
    </row>
    <row r="7" spans="1:7" ht="18" customHeight="1" x14ac:dyDescent="0.25">
      <c r="A7" s="1">
        <v>6</v>
      </c>
      <c r="B7" s="1" t="s">
        <v>55</v>
      </c>
      <c r="C7" s="1" t="s">
        <v>25</v>
      </c>
      <c r="D7" s="1" t="s">
        <v>47</v>
      </c>
      <c r="E7" s="2" t="s">
        <v>36</v>
      </c>
      <c r="F7" s="3">
        <v>43915</v>
      </c>
    </row>
    <row r="8" spans="1:7" ht="18" customHeight="1" x14ac:dyDescent="0.25">
      <c r="A8" s="1">
        <v>7</v>
      </c>
      <c r="B8" s="1" t="s">
        <v>62</v>
      </c>
      <c r="C8" s="1" t="s">
        <v>26</v>
      </c>
      <c r="D8" s="1" t="s">
        <v>48</v>
      </c>
      <c r="E8" s="2" t="s">
        <v>37</v>
      </c>
      <c r="F8" s="3">
        <v>43944</v>
      </c>
    </row>
    <row r="9" spans="1:7" ht="18" customHeight="1" x14ac:dyDescent="0.25">
      <c r="A9" s="1">
        <v>8</v>
      </c>
      <c r="B9" s="1" t="s">
        <v>56</v>
      </c>
      <c r="C9" s="1" t="s">
        <v>27</v>
      </c>
      <c r="D9" s="1" t="s">
        <v>49</v>
      </c>
      <c r="E9" s="2" t="s">
        <v>38</v>
      </c>
      <c r="F9" s="3">
        <v>43956</v>
      </c>
    </row>
    <row r="10" spans="1:7" ht="18" customHeight="1" x14ac:dyDescent="0.25">
      <c r="A10" s="1">
        <v>9</v>
      </c>
      <c r="B10" s="1" t="s">
        <v>142</v>
      </c>
      <c r="C10" s="1" t="s">
        <v>143</v>
      </c>
      <c r="D10" s="1" t="s">
        <v>111</v>
      </c>
      <c r="E10" s="2" t="s">
        <v>144</v>
      </c>
      <c r="F10" s="3">
        <v>43977</v>
      </c>
    </row>
    <row r="11" spans="1:7" ht="18" customHeight="1" x14ac:dyDescent="0.25">
      <c r="A11" s="1">
        <v>10</v>
      </c>
      <c r="B11" s="1" t="s">
        <v>63</v>
      </c>
      <c r="C11" s="1" t="s">
        <v>29</v>
      </c>
      <c r="D11" s="1" t="s">
        <v>50</v>
      </c>
      <c r="E11" s="2" t="s">
        <v>39</v>
      </c>
      <c r="F11" s="3">
        <v>43994</v>
      </c>
    </row>
    <row r="12" spans="1:7" ht="18" customHeight="1" x14ac:dyDescent="0.25">
      <c r="A12" s="1">
        <v>11</v>
      </c>
      <c r="B12" s="1" t="s">
        <v>57</v>
      </c>
      <c r="C12" s="1" t="s">
        <v>30</v>
      </c>
      <c r="D12" s="1" t="s">
        <v>51</v>
      </c>
      <c r="E12" s="2" t="s">
        <v>40</v>
      </c>
      <c r="F12" s="3">
        <v>44004</v>
      </c>
    </row>
    <row r="13" spans="1:7" ht="18" customHeight="1" x14ac:dyDescent="0.25">
      <c r="A13" s="1">
        <v>12</v>
      </c>
      <c r="B13" s="1" t="s">
        <v>145</v>
      </c>
      <c r="C13" s="1" t="s">
        <v>146</v>
      </c>
      <c r="D13" s="1" t="s">
        <v>147</v>
      </c>
      <c r="E13" s="2" t="s">
        <v>148</v>
      </c>
      <c r="F13" s="3">
        <v>44028</v>
      </c>
    </row>
    <row r="14" spans="1:7" ht="18" customHeight="1" x14ac:dyDescent="0.25">
      <c r="A14" s="1">
        <v>13</v>
      </c>
      <c r="B14" s="1" t="s">
        <v>64</v>
      </c>
      <c r="C14" s="1" t="s">
        <v>31</v>
      </c>
      <c r="D14" s="1" t="s">
        <v>52</v>
      </c>
      <c r="E14" s="2" t="s">
        <v>41</v>
      </c>
      <c r="F14" s="3">
        <v>44047</v>
      </c>
    </row>
    <row r="15" spans="1:7" ht="18" customHeight="1" x14ac:dyDescent="0.25">
      <c r="A15" s="1">
        <v>14</v>
      </c>
      <c r="B15" s="1" t="s">
        <v>58</v>
      </c>
      <c r="C15" s="1" t="s">
        <v>32</v>
      </c>
      <c r="D15" s="1" t="s">
        <v>53</v>
      </c>
      <c r="E15" s="2" t="s">
        <v>42</v>
      </c>
      <c r="F15" s="3">
        <v>44069</v>
      </c>
    </row>
    <row r="16" spans="1:7" ht="18" customHeight="1" x14ac:dyDescent="0.25">
      <c r="A16" s="1">
        <v>31</v>
      </c>
      <c r="B16" s="1" t="s">
        <v>149</v>
      </c>
      <c r="C16" s="1" t="s">
        <v>150</v>
      </c>
      <c r="D16" s="1" t="s">
        <v>111</v>
      </c>
      <c r="E16" s="1" t="s">
        <v>151</v>
      </c>
      <c r="F16" s="3">
        <v>44163</v>
      </c>
    </row>
    <row r="17" spans="1:6" ht="18" customHeight="1" x14ac:dyDescent="0.25">
      <c r="A17" s="1">
        <v>32</v>
      </c>
      <c r="B17" s="1" t="s">
        <v>152</v>
      </c>
      <c r="C17" s="1" t="s">
        <v>153</v>
      </c>
      <c r="D17" s="1" t="s">
        <v>154</v>
      </c>
      <c r="E17" s="1" t="s">
        <v>155</v>
      </c>
      <c r="F17" s="3">
        <v>44163</v>
      </c>
    </row>
  </sheetData>
  <autoFilter ref="A1:G15" xr:uid="{7EEA3FD9-085B-4480-96E4-A69F5D37DCE8}"/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DD9D6-0410-4C72-8CFE-ED3F77673565}">
  <sheetPr codeName="shtOrder">
    <tabColor rgb="FFFFFF00"/>
  </sheetPr>
  <dimension ref="A1:E24"/>
  <sheetViews>
    <sheetView zoomScale="190" zoomScaleNormal="190" workbookViewId="0"/>
  </sheetViews>
  <sheetFormatPr defaultColWidth="9.109375" defaultRowHeight="18" customHeight="1" x14ac:dyDescent="0.25"/>
  <cols>
    <col min="1" max="1" width="7.6640625" style="1" customWidth="1"/>
    <col min="2" max="2" width="9.109375" style="1" customWidth="1"/>
    <col min="3" max="3" width="14.5546875" style="1" customWidth="1"/>
    <col min="4" max="4" width="18.5546875" style="1" customWidth="1"/>
    <col min="5" max="16384" width="9.109375" style="1"/>
  </cols>
  <sheetData>
    <row r="1" spans="1:5" ht="18" customHeight="1" x14ac:dyDescent="0.25">
      <c r="A1" s="1" t="s">
        <v>0</v>
      </c>
      <c r="B1" s="1" t="s">
        <v>95</v>
      </c>
      <c r="C1" s="1" t="s">
        <v>104</v>
      </c>
      <c r="D1" s="1" t="s">
        <v>106</v>
      </c>
      <c r="E1" s="25">
        <v>24</v>
      </c>
    </row>
    <row r="2" spans="1:5" ht="18" customHeight="1" x14ac:dyDescent="0.25">
      <c r="A2" s="1">
        <v>1</v>
      </c>
      <c r="B2" s="1">
        <v>13</v>
      </c>
      <c r="C2" s="3" t="s">
        <v>113</v>
      </c>
      <c r="D2" s="4">
        <v>44105.773611111108</v>
      </c>
    </row>
    <row r="3" spans="1:5" ht="18" customHeight="1" x14ac:dyDescent="0.25">
      <c r="A3" s="1">
        <v>2</v>
      </c>
      <c r="B3" s="1">
        <v>8</v>
      </c>
      <c r="C3" s="3" t="s">
        <v>114</v>
      </c>
      <c r="D3" s="4">
        <v>44106.273611111108</v>
      </c>
    </row>
    <row r="4" spans="1:5" ht="18" customHeight="1" x14ac:dyDescent="0.25">
      <c r="A4" s="1">
        <v>3</v>
      </c>
      <c r="B4" s="1">
        <v>1</v>
      </c>
      <c r="C4" s="3" t="s">
        <v>115</v>
      </c>
      <c r="D4" s="4">
        <v>44107.873611111107</v>
      </c>
    </row>
    <row r="5" spans="1:5" ht="18" customHeight="1" x14ac:dyDescent="0.25">
      <c r="A5" s="1">
        <v>4</v>
      </c>
      <c r="B5" s="1">
        <v>6</v>
      </c>
      <c r="C5" s="3" t="s">
        <v>116</v>
      </c>
      <c r="D5" s="4">
        <v>44108.273611111108</v>
      </c>
    </row>
    <row r="6" spans="1:5" ht="18" customHeight="1" x14ac:dyDescent="0.25">
      <c r="A6" s="1">
        <v>5</v>
      </c>
      <c r="B6" s="1">
        <v>1</v>
      </c>
      <c r="C6" s="3" t="s">
        <v>117</v>
      </c>
      <c r="D6" s="4">
        <v>44109.873611111107</v>
      </c>
    </row>
    <row r="7" spans="1:5" ht="18" customHeight="1" x14ac:dyDescent="0.25">
      <c r="A7" s="1">
        <v>6</v>
      </c>
      <c r="B7" s="1">
        <v>7</v>
      </c>
      <c r="C7" s="3" t="s">
        <v>118</v>
      </c>
      <c r="D7" s="4">
        <v>44111.873611111107</v>
      </c>
    </row>
    <row r="8" spans="1:5" ht="18" customHeight="1" x14ac:dyDescent="0.25">
      <c r="A8" s="1">
        <v>7</v>
      </c>
      <c r="B8" s="1">
        <v>11</v>
      </c>
      <c r="C8" s="3" t="s">
        <v>119</v>
      </c>
      <c r="D8" s="4">
        <v>44113.573611111104</v>
      </c>
    </row>
    <row r="9" spans="1:5" ht="18" customHeight="1" x14ac:dyDescent="0.25">
      <c r="A9" s="1">
        <v>8</v>
      </c>
      <c r="B9" s="1">
        <v>13</v>
      </c>
      <c r="C9" s="3" t="s">
        <v>120</v>
      </c>
      <c r="D9" s="4">
        <v>44114.373611111107</v>
      </c>
    </row>
    <row r="10" spans="1:5" ht="18" customHeight="1" x14ac:dyDescent="0.25">
      <c r="A10" s="1">
        <v>9</v>
      </c>
      <c r="B10" s="1">
        <v>12</v>
      </c>
      <c r="C10" s="3" t="s">
        <v>121</v>
      </c>
      <c r="D10" s="4">
        <v>44115.673611111109</v>
      </c>
    </row>
    <row r="11" spans="1:5" ht="18" customHeight="1" x14ac:dyDescent="0.25">
      <c r="A11" s="1">
        <v>10</v>
      </c>
      <c r="B11" s="1">
        <v>12</v>
      </c>
      <c r="C11" s="3" t="s">
        <v>122</v>
      </c>
      <c r="D11" s="4">
        <v>44116.373611111107</v>
      </c>
    </row>
    <row r="12" spans="1:5" ht="18" customHeight="1" x14ac:dyDescent="0.25">
      <c r="A12" s="1">
        <v>11</v>
      </c>
      <c r="B12" s="1">
        <v>9</v>
      </c>
      <c r="C12" s="3" t="s">
        <v>123</v>
      </c>
      <c r="D12" s="4">
        <v>44117.473611111105</v>
      </c>
    </row>
    <row r="13" spans="1:5" ht="18" customHeight="1" x14ac:dyDescent="0.25">
      <c r="A13" s="1">
        <v>12</v>
      </c>
      <c r="B13" s="1">
        <v>14</v>
      </c>
      <c r="C13" s="3" t="s">
        <v>124</v>
      </c>
      <c r="D13" s="4">
        <v>44118.073611111104</v>
      </c>
    </row>
    <row r="14" spans="1:5" ht="18" customHeight="1" x14ac:dyDescent="0.25">
      <c r="A14" s="1">
        <v>13</v>
      </c>
      <c r="B14" s="1">
        <v>9</v>
      </c>
      <c r="C14" s="3" t="s">
        <v>125</v>
      </c>
      <c r="D14" s="4">
        <v>44118.973611111105</v>
      </c>
    </row>
    <row r="15" spans="1:5" ht="18" customHeight="1" x14ac:dyDescent="0.25">
      <c r="A15" s="1">
        <v>14</v>
      </c>
      <c r="B15" s="1">
        <v>4</v>
      </c>
      <c r="C15" s="3" t="s">
        <v>126</v>
      </c>
      <c r="D15" s="4">
        <v>44120.273611111108</v>
      </c>
    </row>
    <row r="16" spans="1:5" ht="18" customHeight="1" x14ac:dyDescent="0.25">
      <c r="A16" s="1">
        <v>15</v>
      </c>
      <c r="B16" s="1">
        <v>14</v>
      </c>
      <c r="C16" s="3" t="s">
        <v>127</v>
      </c>
      <c r="D16" s="4">
        <v>44121.973611111105</v>
      </c>
    </row>
    <row r="17" spans="1:4" ht="18" customHeight="1" x14ac:dyDescent="0.25">
      <c r="A17" s="1">
        <v>16</v>
      </c>
      <c r="B17" s="1">
        <v>8</v>
      </c>
      <c r="C17" s="3" t="s">
        <v>128</v>
      </c>
      <c r="D17" s="4">
        <v>44123.673611111102</v>
      </c>
    </row>
    <row r="18" spans="1:4" ht="18" customHeight="1" x14ac:dyDescent="0.25">
      <c r="A18" s="1">
        <v>17</v>
      </c>
      <c r="B18" s="1">
        <v>9</v>
      </c>
      <c r="C18" s="3" t="s">
        <v>129</v>
      </c>
      <c r="D18" s="4">
        <v>44124.873611111099</v>
      </c>
    </row>
    <row r="19" spans="1:4" ht="18" customHeight="1" x14ac:dyDescent="0.25">
      <c r="A19" s="1">
        <v>18</v>
      </c>
      <c r="B19" s="1">
        <v>8</v>
      </c>
      <c r="C19" s="3" t="s">
        <v>130</v>
      </c>
      <c r="D19" s="4">
        <v>44125.773611111101</v>
      </c>
    </row>
    <row r="20" spans="1:4" ht="18" customHeight="1" x14ac:dyDescent="0.25">
      <c r="A20" s="1">
        <v>19</v>
      </c>
      <c r="B20" s="1">
        <v>4</v>
      </c>
      <c r="C20" s="3" t="s">
        <v>131</v>
      </c>
      <c r="D20" s="4">
        <v>44127.773611111101</v>
      </c>
    </row>
    <row r="21" spans="1:4" ht="18" customHeight="1" x14ac:dyDescent="0.25">
      <c r="A21" s="1">
        <v>20</v>
      </c>
      <c r="B21" s="1">
        <v>1</v>
      </c>
      <c r="C21" s="3" t="s">
        <v>132</v>
      </c>
      <c r="D21" s="4">
        <v>44129.273611111101</v>
      </c>
    </row>
    <row r="22" spans="1:4" ht="18" customHeight="1" x14ac:dyDescent="0.25">
      <c r="A22" s="1">
        <v>21</v>
      </c>
      <c r="B22" s="1">
        <v>3</v>
      </c>
      <c r="C22" s="3" t="s">
        <v>133</v>
      </c>
      <c r="D22" s="4">
        <v>44130.773611111101</v>
      </c>
    </row>
    <row r="23" spans="1:4" ht="18" customHeight="1" x14ac:dyDescent="0.25">
      <c r="A23" s="1">
        <v>22</v>
      </c>
      <c r="B23" s="1">
        <v>4</v>
      </c>
      <c r="C23" s="3" t="s">
        <v>134</v>
      </c>
      <c r="D23" s="4">
        <v>44131.073611111104</v>
      </c>
    </row>
    <row r="24" spans="1:4" ht="18" customHeight="1" x14ac:dyDescent="0.25">
      <c r="A24" s="1">
        <v>23</v>
      </c>
      <c r="B24" s="1">
        <v>8</v>
      </c>
      <c r="C24" s="3" t="s">
        <v>135</v>
      </c>
      <c r="D24" s="4">
        <v>44131.973611111105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BD27A-AFBF-4757-ADC0-5E805E92959D}">
  <sheetPr codeName="shtOrderDetail">
    <tabColor rgb="FFFFFF00"/>
  </sheetPr>
  <dimension ref="A1:K68"/>
  <sheetViews>
    <sheetView zoomScale="175" zoomScaleNormal="175" workbookViewId="0"/>
  </sheetViews>
  <sheetFormatPr defaultColWidth="9.109375" defaultRowHeight="18" customHeight="1" x14ac:dyDescent="0.25"/>
  <cols>
    <col min="1" max="1" width="7.6640625" style="1" customWidth="1"/>
    <col min="2" max="2" width="11.5546875" style="1" customWidth="1"/>
    <col min="3" max="4" width="10.33203125" style="1" customWidth="1"/>
    <col min="5" max="5" width="10.6640625" style="1" customWidth="1"/>
    <col min="6" max="6" width="11.33203125" style="1" bestFit="1" customWidth="1"/>
    <col min="7" max="7" width="31.109375" style="1" customWidth="1"/>
    <col min="8" max="10" width="14.6640625" style="1" customWidth="1"/>
    <col min="11" max="16384" width="9.109375" style="1"/>
  </cols>
  <sheetData>
    <row r="1" spans="1:11" ht="18" customHeight="1" thickBot="1" x14ac:dyDescent="0.3">
      <c r="A1" s="1" t="s">
        <v>0</v>
      </c>
      <c r="B1" s="1" t="s">
        <v>102</v>
      </c>
      <c r="C1" s="1" t="s">
        <v>97</v>
      </c>
      <c r="D1" s="1" t="s">
        <v>99</v>
      </c>
      <c r="E1" s="1" t="s">
        <v>6</v>
      </c>
      <c r="F1" s="25">
        <v>68</v>
      </c>
      <c r="K1" s="5"/>
    </row>
    <row r="2" spans="1:11" ht="18" customHeight="1" thickBot="1" x14ac:dyDescent="0.3">
      <c r="A2" s="1">
        <v>1</v>
      </c>
      <c r="B2" s="1">
        <v>1</v>
      </c>
      <c r="C2" s="1">
        <v>24</v>
      </c>
      <c r="D2" s="1">
        <v>1</v>
      </c>
      <c r="E2" s="2">
        <v>23200</v>
      </c>
      <c r="F2" s="3"/>
      <c r="G2" s="14" t="s">
        <v>104</v>
      </c>
      <c r="H2" s="30" t="s">
        <v>120</v>
      </c>
      <c r="I2" s="30"/>
    </row>
    <row r="3" spans="1:11" ht="18" customHeight="1" x14ac:dyDescent="0.25">
      <c r="A3" s="1">
        <v>2</v>
      </c>
      <c r="B3" s="1">
        <v>1</v>
      </c>
      <c r="C3" s="1">
        <v>10</v>
      </c>
      <c r="D3" s="1">
        <v>3</v>
      </c>
      <c r="E3" s="2">
        <v>54200</v>
      </c>
      <c r="F3" s="3"/>
      <c r="K3" s="9">
        <f>MATCH(주문상세!H2,주문목록!C:C,0)</f>
        <v>9</v>
      </c>
    </row>
    <row r="4" spans="1:11" ht="18" customHeight="1" thickBot="1" x14ac:dyDescent="0.3">
      <c r="A4" s="1">
        <v>3</v>
      </c>
      <c r="B4" s="1">
        <v>1</v>
      </c>
      <c r="C4" s="1">
        <v>17</v>
      </c>
      <c r="D4" s="1">
        <v>3</v>
      </c>
      <c r="E4" s="2">
        <v>29800</v>
      </c>
      <c r="F4" s="3"/>
      <c r="G4" s="32" t="s">
        <v>107</v>
      </c>
      <c r="H4" s="32"/>
      <c r="I4" s="32"/>
      <c r="J4" s="32"/>
    </row>
    <row r="5" spans="1:11" ht="18" customHeight="1" thickBot="1" x14ac:dyDescent="0.3">
      <c r="A5" s="1">
        <v>4</v>
      </c>
      <c r="B5" s="1">
        <v>2</v>
      </c>
      <c r="C5" s="1">
        <v>10</v>
      </c>
      <c r="D5" s="1">
        <v>3</v>
      </c>
      <c r="E5" s="2">
        <v>54200</v>
      </c>
      <c r="F5" s="3"/>
      <c r="G5" s="15" t="s">
        <v>13</v>
      </c>
      <c r="H5" s="15" t="s">
        <v>15</v>
      </c>
      <c r="I5" s="15" t="s">
        <v>1</v>
      </c>
      <c r="J5" s="15" t="s">
        <v>19</v>
      </c>
      <c r="K5" s="9">
        <f>INDEX(주문목록!B:B,MATCH(주문상세!H2,주문목록!C:C,0))</f>
        <v>13</v>
      </c>
    </row>
    <row r="6" spans="1:11" ht="18" customHeight="1" x14ac:dyDescent="0.25">
      <c r="A6" s="1">
        <v>5</v>
      </c>
      <c r="B6" s="1">
        <v>2</v>
      </c>
      <c r="C6" s="1">
        <v>19</v>
      </c>
      <c r="D6" s="1">
        <v>3</v>
      </c>
      <c r="E6" s="2">
        <v>29800</v>
      </c>
      <c r="F6" s="3"/>
      <c r="G6" s="6" t="str">
        <f>VLOOKUP(K5,고객명!A:F,3,0)</f>
        <v>김교은</v>
      </c>
      <c r="H6" s="6" t="str">
        <f>VLOOKUP(K5,고객명!A:F,2,0)</f>
        <v>chipmunk78</v>
      </c>
      <c r="I6" s="6" t="str">
        <f>VLOOKUP(K5,고객명!A:F,4,0)</f>
        <v>010-8034-6937</v>
      </c>
      <c r="J6" s="16">
        <f>VLOOKUP(K5,고객명!A:F,6,0)</f>
        <v>44047</v>
      </c>
    </row>
    <row r="7" spans="1:11" ht="18" customHeight="1" x14ac:dyDescent="0.25">
      <c r="A7" s="1">
        <v>6</v>
      </c>
      <c r="B7" s="1">
        <v>2</v>
      </c>
      <c r="C7" s="1">
        <v>1</v>
      </c>
      <c r="D7" s="1">
        <v>1</v>
      </c>
      <c r="E7" s="2">
        <v>19800</v>
      </c>
      <c r="F7" s="3"/>
    </row>
    <row r="8" spans="1:11" ht="18" customHeight="1" thickBot="1" x14ac:dyDescent="0.3">
      <c r="A8" s="1">
        <v>7</v>
      </c>
      <c r="B8" s="1">
        <v>3</v>
      </c>
      <c r="C8" s="1">
        <v>23</v>
      </c>
      <c r="D8" s="1">
        <v>1</v>
      </c>
      <c r="E8" s="2">
        <v>23200</v>
      </c>
      <c r="F8" s="3"/>
      <c r="G8" s="31" t="s">
        <v>108</v>
      </c>
      <c r="H8" s="31"/>
      <c r="I8" s="31"/>
      <c r="J8" s="31"/>
    </row>
    <row r="9" spans="1:11" ht="18" customHeight="1" thickBot="1" x14ac:dyDescent="0.3">
      <c r="A9" s="1">
        <v>8</v>
      </c>
      <c r="B9" s="1">
        <v>3</v>
      </c>
      <c r="C9" s="1">
        <v>20</v>
      </c>
      <c r="D9" s="1">
        <v>3</v>
      </c>
      <c r="E9" s="2">
        <v>29800</v>
      </c>
      <c r="F9" s="3"/>
      <c r="G9" s="12" t="s">
        <v>4</v>
      </c>
      <c r="H9" s="13" t="s">
        <v>99</v>
      </c>
      <c r="I9" s="13" t="s">
        <v>6</v>
      </c>
      <c r="J9" s="13" t="s">
        <v>100</v>
      </c>
    </row>
    <row r="10" spans="1:11" ht="18" customHeight="1" x14ac:dyDescent="0.25">
      <c r="A10" s="1">
        <v>9</v>
      </c>
      <c r="B10" s="1">
        <v>4</v>
      </c>
      <c r="C10" s="1">
        <v>18</v>
      </c>
      <c r="D10" s="1">
        <v>2</v>
      </c>
      <c r="E10" s="2">
        <v>29800</v>
      </c>
      <c r="F10" s="3"/>
      <c r="G10" s="10" t="str" cm="1">
        <f t="array" ref="G10">IFERROR(VLOOKUP(INDEX($C$2:$C$68, SMALL(IF(($B$2:$B$68=$K$3),MATCH(ROW($B$2:$B$68), ROW($B$2:$B$68)), ""), ROWS($A$1:A1))),제품명!A:D,2,0),"")</f>
        <v>도톰 블라우스-핑크(99)</v>
      </c>
      <c r="H10" s="11" cm="1">
        <f t="array" ref="H10">IFERROR(INDEX($D$2:$D$68, SMALL(IF(($B$2:$B$68=$K$3),MATCH(ROW($B$2:$B$68), ROW($B$2:$B$68)), ""), ROWS($A$1:A1))),"")</f>
        <v>1</v>
      </c>
      <c r="I10" s="11" cm="1">
        <f t="array" ref="I10">IFERROR(INDEX($E$2:$E$68, SMALL(IF(($B$2:$B$68=$K$3),MATCH(ROW($B$2:$B$68), ROW($B$2:$B$68)), ""), ROWS($A$1:A1))),"")</f>
        <v>32800</v>
      </c>
      <c r="J10" s="11">
        <f>IFERROR(H10*I10,"")</f>
        <v>32800</v>
      </c>
    </row>
    <row r="11" spans="1:11" ht="18" customHeight="1" x14ac:dyDescent="0.25">
      <c r="A11" s="1">
        <v>10</v>
      </c>
      <c r="B11" s="1">
        <v>4</v>
      </c>
      <c r="C11" s="1">
        <v>15</v>
      </c>
      <c r="D11" s="1">
        <v>2</v>
      </c>
      <c r="E11" s="2">
        <v>32800</v>
      </c>
      <c r="F11" s="3"/>
      <c r="G11" s="7" t="str" cm="1">
        <f t="array" ref="G11">IFERROR(VLOOKUP(INDEX($C$2:$C$68, SMALL(IF(($B$2:$B$68=$K$3),MATCH(ROW($B$2:$B$68), ROW($B$2:$B$68)), ""), ROWS($A$1:A2))),제품명!A:D,2,0),"")</f>
        <v>베이직 반하이넥 니트-베이지(66)</v>
      </c>
      <c r="H11" s="8" cm="1">
        <f t="array" ref="H11">IFERROR(INDEX($D$2:$D$68, SMALL(IF(($B$2:$B$68=$K$3),MATCH(ROW($B$2:$B$68), ROW($B$2:$B$68)), ""), ROWS($A$1:A2))),"")</f>
        <v>2</v>
      </c>
      <c r="I11" s="8" cm="1">
        <f t="array" ref="I11">IFERROR(INDEX($E$2:$E$68, SMALL(IF(($B$2:$B$68=$K$3),MATCH(ROW($B$2:$B$68), ROW($B$2:$B$68)), ""), ROWS($A$1:A2))),"")</f>
        <v>19800</v>
      </c>
      <c r="J11" s="8">
        <f t="shared" ref="J11:J21" si="0">IFERROR(H11*I11,"")</f>
        <v>39600</v>
      </c>
    </row>
    <row r="12" spans="1:11" ht="18" customHeight="1" x14ac:dyDescent="0.25">
      <c r="A12" s="1">
        <v>11</v>
      </c>
      <c r="B12" s="1">
        <v>4</v>
      </c>
      <c r="C12" s="1">
        <v>24</v>
      </c>
      <c r="D12" s="1">
        <v>2</v>
      </c>
      <c r="E12" s="2">
        <v>23200</v>
      </c>
      <c r="F12" s="3"/>
      <c r="G12" s="7" t="str" cm="1">
        <f t="array" ref="G12">IFERROR(VLOOKUP(INDEX($C$2:$C$68, SMALL(IF(($B$2:$B$68=$K$3),MATCH(ROW($B$2:$B$68), ROW($B$2:$B$68)), ""), ROWS($A$1:A3))),제품명!A:D,2,0),"")</f>
        <v>도톰 블라우스-핑크(99)</v>
      </c>
      <c r="H12" s="8" cm="1">
        <f t="array" ref="H12">IFERROR(INDEX($D$2:$D$68, SMALL(IF(($B$2:$B$68=$K$3),MATCH(ROW($B$2:$B$68), ROW($B$2:$B$68)), ""), ROWS($A$1:A3))),"")</f>
        <v>3</v>
      </c>
      <c r="I12" s="8" cm="1">
        <f t="array" ref="I12">IFERROR(INDEX($E$2:$E$68, SMALL(IF(($B$2:$B$68=$K$3),MATCH(ROW($B$2:$B$68), ROW($B$2:$B$68)), ""), ROWS($A$1:A3))),"")</f>
        <v>32800</v>
      </c>
      <c r="J12" s="8">
        <f t="shared" si="0"/>
        <v>98400</v>
      </c>
    </row>
    <row r="13" spans="1:11" ht="18" customHeight="1" x14ac:dyDescent="0.25">
      <c r="A13" s="1">
        <v>12</v>
      </c>
      <c r="B13" s="1">
        <v>5</v>
      </c>
      <c r="C13" s="1">
        <v>21</v>
      </c>
      <c r="D13" s="1">
        <v>2</v>
      </c>
      <c r="E13" s="2">
        <v>23200</v>
      </c>
      <c r="F13" s="3"/>
      <c r="G13" s="7" t="str" cm="1">
        <f t="array" ref="G13">IFERROR(VLOOKUP(INDEX($C$2:$C$68, SMALL(IF(($B$2:$B$68=$K$3),MATCH(ROW($B$2:$B$68), ROW($B$2:$B$68)), ""), ROWS($A$1:A4))),제품명!A:D,2,0),"")</f>
        <v>기모안감 일자라인 팬츠-블랙(99)</v>
      </c>
      <c r="H13" s="8" cm="1">
        <f t="array" ref="H13">IFERROR(INDEX($D$2:$D$68, SMALL(IF(($B$2:$B$68=$K$3),MATCH(ROW($B$2:$B$68), ROW($B$2:$B$68)), ""), ROWS($A$1:A4))),"")</f>
        <v>2</v>
      </c>
      <c r="I13" s="8" cm="1">
        <f t="array" ref="I13">IFERROR(INDEX($E$2:$E$68, SMALL(IF(($B$2:$B$68=$K$3),MATCH(ROW($B$2:$B$68), ROW($B$2:$B$68)), ""), ROWS($A$1:A4))),"")</f>
        <v>15800</v>
      </c>
      <c r="J13" s="8">
        <f t="shared" si="0"/>
        <v>31600</v>
      </c>
    </row>
    <row r="14" spans="1:11" ht="18" customHeight="1" x14ac:dyDescent="0.25">
      <c r="A14" s="1">
        <v>13</v>
      </c>
      <c r="B14" s="1">
        <v>5</v>
      </c>
      <c r="C14" s="1">
        <v>13</v>
      </c>
      <c r="D14" s="1">
        <v>1</v>
      </c>
      <c r="E14" s="2">
        <v>32800</v>
      </c>
      <c r="F14" s="3"/>
      <c r="G14" s="7" t="str" cm="1">
        <f t="array" ref="G14">IFERROR(VLOOKUP(INDEX($C$2:$C$68, SMALL(IF(($B$2:$B$68=$K$3),MATCH(ROW($B$2:$B$68), ROW($B$2:$B$68)), ""), ROWS($A$1:A5))),제품명!A:D,2,0),"")</f>
        <v>여리여리 브이넥 니트-핑크(66)</v>
      </c>
      <c r="H14" s="8" cm="1">
        <f t="array" ref="H14">IFERROR(INDEX($D$2:$D$68, SMALL(IF(($B$2:$B$68=$K$3),MATCH(ROW($B$2:$B$68), ROW($B$2:$B$68)), ""), ROWS($A$1:A5))),"")</f>
        <v>3</v>
      </c>
      <c r="I14" s="8" cm="1">
        <f t="array" ref="I14">IFERROR(INDEX($E$2:$E$68, SMALL(IF(($B$2:$B$68=$K$3),MATCH(ROW($B$2:$B$68), ROW($B$2:$B$68)), ""), ROWS($A$1:A5))),"")</f>
        <v>29800</v>
      </c>
      <c r="J14" s="8">
        <f t="shared" si="0"/>
        <v>89400</v>
      </c>
    </row>
    <row r="15" spans="1:11" ht="18" customHeight="1" x14ac:dyDescent="0.25">
      <c r="A15" s="1">
        <v>14</v>
      </c>
      <c r="B15" s="1">
        <v>5</v>
      </c>
      <c r="C15" s="1">
        <v>24</v>
      </c>
      <c r="D15" s="1">
        <v>2</v>
      </c>
      <c r="E15" s="2">
        <v>23200</v>
      </c>
      <c r="F15" s="3"/>
      <c r="G15" s="7" t="str" cm="1">
        <f t="array" ref="G15">IFERROR(VLOOKUP(INDEX($C$2:$C$68, SMALL(IF(($B$2:$B$68=$K$3),MATCH(ROW($B$2:$B$68), ROW($B$2:$B$68)), ""), ROWS($A$1:A6))),제품명!A:D,2,0),"")</f>
        <v/>
      </c>
      <c r="H15" s="8" t="str" cm="1">
        <f t="array" ref="H15">IFERROR(INDEX($D$2:$D$68, SMALL(IF(($B$2:$B$68=$K$3),MATCH(ROW($B$2:$B$68), ROW($B$2:$B$68)), ""), ROWS($A$1:A6))),"")</f>
        <v/>
      </c>
      <c r="I15" s="8" t="str" cm="1">
        <f t="array" ref="I15">IFERROR(INDEX($E$2:$E$68, SMALL(IF(($B$2:$B$68=$K$3),MATCH(ROW($B$2:$B$68), ROW($B$2:$B$68)), ""), ROWS($A$1:A6))),"")</f>
        <v/>
      </c>
      <c r="J15" s="8" t="str">
        <f t="shared" si="0"/>
        <v/>
      </c>
    </row>
    <row r="16" spans="1:11" ht="18" customHeight="1" x14ac:dyDescent="0.25">
      <c r="A16" s="1">
        <v>15</v>
      </c>
      <c r="B16" s="1">
        <v>6</v>
      </c>
      <c r="C16" s="1">
        <v>15</v>
      </c>
      <c r="D16" s="1">
        <v>1</v>
      </c>
      <c r="E16" s="2">
        <v>32800</v>
      </c>
      <c r="F16" s="3"/>
      <c r="G16" s="7" t="str" cm="1">
        <f t="array" ref="G16">IFERROR(VLOOKUP(INDEX($C$2:$C$68, SMALL(IF(($B$2:$B$68=$K$3),MATCH(ROW($B$2:$B$68), ROW($B$2:$B$68)), ""), ROWS($A$1:A7))),제품명!A:D,2,0),"")</f>
        <v/>
      </c>
      <c r="H16" s="8" t="str" cm="1">
        <f t="array" ref="H16">IFERROR(INDEX($D$2:$D$68, SMALL(IF(($B$2:$B$68=$K$3),MATCH(ROW($B$2:$B$68), ROW($B$2:$B$68)), ""), ROWS($A$1:A7))),"")</f>
        <v/>
      </c>
      <c r="I16" s="8" t="str" cm="1">
        <f t="array" ref="I16">IFERROR(INDEX($E$2:$E$68, SMALL(IF(($B$2:$B$68=$K$3),MATCH(ROW($B$2:$B$68), ROW($B$2:$B$68)), ""), ROWS($A$1:A7))),"")</f>
        <v/>
      </c>
      <c r="J16" s="8" t="str">
        <f t="shared" si="0"/>
        <v/>
      </c>
    </row>
    <row r="17" spans="1:10" ht="18" customHeight="1" x14ac:dyDescent="0.25">
      <c r="A17" s="1">
        <v>16</v>
      </c>
      <c r="B17" s="1">
        <v>7</v>
      </c>
      <c r="C17" s="1">
        <v>4</v>
      </c>
      <c r="D17" s="1">
        <v>1</v>
      </c>
      <c r="E17" s="2">
        <v>19800</v>
      </c>
      <c r="G17" s="7" t="str" cm="1">
        <f t="array" ref="G17">IFERROR(VLOOKUP(INDEX($C$2:$C$68, SMALL(IF(($B$2:$B$68=$K$3),MATCH(ROW($B$2:$B$68), ROW($B$2:$B$68)), ""), ROWS($A$1:A8))),제품명!A:D,2,0),"")</f>
        <v/>
      </c>
      <c r="H17" s="8" t="str" cm="1">
        <f t="array" ref="H17">IFERROR(INDEX($D$2:$D$68, SMALL(IF(($B$2:$B$68=$K$3),MATCH(ROW($B$2:$B$68), ROW($B$2:$B$68)), ""), ROWS($A$1:A8))),"")</f>
        <v/>
      </c>
      <c r="I17" s="8" t="str" cm="1">
        <f t="array" ref="I17">IFERROR(INDEX($E$2:$E$68, SMALL(IF(($B$2:$B$68=$K$3),MATCH(ROW($B$2:$B$68), ROW($B$2:$B$68)), ""), ROWS($A$1:A8))),"")</f>
        <v/>
      </c>
      <c r="J17" s="8" t="str">
        <f t="shared" si="0"/>
        <v/>
      </c>
    </row>
    <row r="18" spans="1:10" ht="18" customHeight="1" x14ac:dyDescent="0.25">
      <c r="A18" s="1">
        <v>17</v>
      </c>
      <c r="B18" s="1">
        <v>8</v>
      </c>
      <c r="C18" s="1">
        <v>11</v>
      </c>
      <c r="D18" s="1">
        <v>2</v>
      </c>
      <c r="E18" s="2">
        <v>54200</v>
      </c>
      <c r="G18" s="7" t="str" cm="1">
        <f t="array" ref="G18">IFERROR(VLOOKUP(INDEX($C$2:$C$68, SMALL(IF(($B$2:$B$68=$K$3),MATCH(ROW($B$2:$B$68), ROW($B$2:$B$68)), ""), ROWS($A$1:A9))),제품명!A:D,2,0),"")</f>
        <v/>
      </c>
      <c r="H18" s="8" t="str" cm="1">
        <f t="array" ref="H18">IFERROR(INDEX($D$2:$D$68, SMALL(IF(($B$2:$B$68=$K$3),MATCH(ROW($B$2:$B$68), ROW($B$2:$B$68)), ""), ROWS($A$1:A9))),"")</f>
        <v/>
      </c>
      <c r="I18" s="8" t="str" cm="1">
        <f t="array" ref="I18">IFERROR(INDEX($E$2:$E$68, SMALL(IF(($B$2:$B$68=$K$3),MATCH(ROW($B$2:$B$68), ROW($B$2:$B$68)), ""), ROWS($A$1:A9))),"")</f>
        <v/>
      </c>
      <c r="J18" s="8" t="str">
        <f t="shared" si="0"/>
        <v/>
      </c>
    </row>
    <row r="19" spans="1:10" ht="18" customHeight="1" x14ac:dyDescent="0.25">
      <c r="A19" s="1">
        <v>18</v>
      </c>
      <c r="B19" s="1">
        <v>8</v>
      </c>
      <c r="C19" s="1">
        <v>19</v>
      </c>
      <c r="D19" s="1">
        <v>1</v>
      </c>
      <c r="E19" s="2">
        <v>29800</v>
      </c>
      <c r="G19" s="7" t="str" cm="1">
        <f t="array" ref="G19">IFERROR(VLOOKUP(INDEX($C$2:$C$68, SMALL(IF(($B$2:$B$68=$K$3),MATCH(ROW($B$2:$B$68), ROW($B$2:$B$68)), ""), ROWS($A$1:A10))),제품명!A:D,2,0),"")</f>
        <v/>
      </c>
      <c r="H19" s="8" t="str" cm="1">
        <f t="array" ref="H19">IFERROR(INDEX($D$2:$D$68, SMALL(IF(($B$2:$B$68=$K$3),MATCH(ROW($B$2:$B$68), ROW($B$2:$B$68)), ""), ROWS($A$1:A10))),"")</f>
        <v/>
      </c>
      <c r="I19" s="8" t="str" cm="1">
        <f t="array" ref="I19">IFERROR(INDEX($E$2:$E$68, SMALL(IF(($B$2:$B$68=$K$3),MATCH(ROW($B$2:$B$68), ROW($B$2:$B$68)), ""), ROWS($A$1:A10))),"")</f>
        <v/>
      </c>
      <c r="J19" s="8" t="str">
        <f t="shared" si="0"/>
        <v/>
      </c>
    </row>
    <row r="20" spans="1:10" ht="18" customHeight="1" x14ac:dyDescent="0.25">
      <c r="A20" s="1">
        <v>19</v>
      </c>
      <c r="B20" s="1">
        <v>9</v>
      </c>
      <c r="C20" s="1">
        <v>16</v>
      </c>
      <c r="D20" s="1">
        <v>1</v>
      </c>
      <c r="E20" s="2">
        <v>32800</v>
      </c>
      <c r="G20" s="7" t="str" cm="1">
        <f t="array" ref="G20">IFERROR(VLOOKUP(INDEX($C$2:$C$68, SMALL(IF(($B$2:$B$68=$K$3),MATCH(ROW($B$2:$B$68), ROW($B$2:$B$68)), ""), ROWS($A$1:A11))),제품명!A:D,2,0),"")</f>
        <v/>
      </c>
      <c r="H20" s="8" t="str" cm="1">
        <f t="array" ref="H20">IFERROR(INDEX($D$2:$D$68, SMALL(IF(($B$2:$B$68=$K$3),MATCH(ROW($B$2:$B$68), ROW($B$2:$B$68)), ""), ROWS($A$1:A11))),"")</f>
        <v/>
      </c>
      <c r="I20" s="8" t="str" cm="1">
        <f t="array" ref="I20">IFERROR(INDEX($E$2:$E$68, SMALL(IF(($B$2:$B$68=$K$3),MATCH(ROW($B$2:$B$68), ROW($B$2:$B$68)), ""), ROWS($A$1:A11))),"")</f>
        <v/>
      </c>
      <c r="J20" s="8" t="str">
        <f t="shared" si="0"/>
        <v/>
      </c>
    </row>
    <row r="21" spans="1:10" ht="18" customHeight="1" thickBot="1" x14ac:dyDescent="0.3">
      <c r="A21" s="1">
        <v>20</v>
      </c>
      <c r="B21" s="1">
        <v>9</v>
      </c>
      <c r="C21" s="1">
        <v>1</v>
      </c>
      <c r="D21" s="1">
        <v>2</v>
      </c>
      <c r="E21" s="2">
        <v>19800</v>
      </c>
      <c r="G21" s="17" t="str" cm="1">
        <f t="array" ref="G21">IFERROR(VLOOKUP(INDEX($C$2:$C$68, SMALL(IF(($B$2:$B$68=$K$3),MATCH(ROW($B$2:$B$68), ROW($B$2:$B$68)), ""), ROWS($A$1:A12))),제품명!A:D,2,0),"")</f>
        <v/>
      </c>
      <c r="H21" s="18" t="str" cm="1">
        <f t="array" ref="H21">IFERROR(INDEX($D$2:$D$68, SMALL(IF(($B$2:$B$68=$K$3),MATCH(ROW($B$2:$B$68), ROW($B$2:$B$68)), ""), ROWS($A$1:A12))),"")</f>
        <v/>
      </c>
      <c r="I21" s="18" t="str" cm="1">
        <f t="array" ref="I21">IFERROR(INDEX($E$2:$E$68, SMALL(IF(($B$2:$B$68=$K$3),MATCH(ROW($B$2:$B$68), ROW($B$2:$B$68)), ""), ROWS($A$1:A12))),"")</f>
        <v/>
      </c>
      <c r="J21" s="18" t="str">
        <f t="shared" si="0"/>
        <v/>
      </c>
    </row>
    <row r="22" spans="1:10" ht="18" customHeight="1" thickBot="1" x14ac:dyDescent="0.3">
      <c r="A22" s="1">
        <v>21</v>
      </c>
      <c r="B22" s="1">
        <v>9</v>
      </c>
      <c r="C22" s="1">
        <v>16</v>
      </c>
      <c r="D22" s="1">
        <v>3</v>
      </c>
      <c r="E22" s="2">
        <v>32800</v>
      </c>
      <c r="G22" s="29" t="s">
        <v>109</v>
      </c>
      <c r="H22" s="29"/>
      <c r="I22" s="29"/>
      <c r="J22" s="19">
        <f>SUM(J10:J21)</f>
        <v>291800</v>
      </c>
    </row>
    <row r="23" spans="1:10" ht="18" customHeight="1" x14ac:dyDescent="0.25">
      <c r="A23" s="1">
        <v>22</v>
      </c>
      <c r="B23" s="1">
        <v>9</v>
      </c>
      <c r="C23" s="1">
        <v>8</v>
      </c>
      <c r="D23" s="1">
        <v>2</v>
      </c>
      <c r="E23" s="2">
        <v>15800</v>
      </c>
    </row>
    <row r="24" spans="1:10" ht="18" customHeight="1" x14ac:dyDescent="0.25">
      <c r="A24" s="1">
        <v>23</v>
      </c>
      <c r="B24" s="1">
        <v>9</v>
      </c>
      <c r="C24" s="1">
        <v>19</v>
      </c>
      <c r="D24" s="1">
        <v>3</v>
      </c>
      <c r="E24" s="2">
        <v>29800</v>
      </c>
    </row>
    <row r="25" spans="1:10" ht="18" customHeight="1" x14ac:dyDescent="0.25">
      <c r="A25" s="1">
        <v>24</v>
      </c>
      <c r="B25" s="1">
        <v>10</v>
      </c>
      <c r="C25" s="1">
        <v>14</v>
      </c>
      <c r="D25" s="1">
        <v>3</v>
      </c>
      <c r="E25" s="2">
        <v>32800</v>
      </c>
    </row>
    <row r="26" spans="1:10" ht="18" customHeight="1" x14ac:dyDescent="0.25">
      <c r="A26" s="1">
        <v>25</v>
      </c>
      <c r="B26" s="1">
        <v>10</v>
      </c>
      <c r="C26" s="1">
        <v>4</v>
      </c>
      <c r="D26" s="1">
        <v>3</v>
      </c>
      <c r="E26" s="2">
        <v>19800</v>
      </c>
    </row>
    <row r="27" spans="1:10" ht="18" customHeight="1" x14ac:dyDescent="0.25">
      <c r="A27" s="1">
        <v>26</v>
      </c>
      <c r="B27" s="1">
        <v>10</v>
      </c>
      <c r="C27" s="1">
        <v>16</v>
      </c>
      <c r="D27" s="1">
        <v>3</v>
      </c>
      <c r="E27" s="2">
        <v>32800</v>
      </c>
    </row>
    <row r="28" spans="1:10" ht="18" customHeight="1" x14ac:dyDescent="0.25">
      <c r="A28" s="1">
        <v>27</v>
      </c>
      <c r="B28" s="1">
        <v>11</v>
      </c>
      <c r="C28" s="1">
        <v>2</v>
      </c>
      <c r="D28" s="1">
        <v>1</v>
      </c>
      <c r="E28" s="2">
        <v>19800</v>
      </c>
    </row>
    <row r="29" spans="1:10" ht="18" customHeight="1" x14ac:dyDescent="0.25">
      <c r="A29" s="1">
        <v>28</v>
      </c>
      <c r="B29" s="1">
        <v>11</v>
      </c>
      <c r="C29" s="1">
        <v>2</v>
      </c>
      <c r="D29" s="1">
        <v>2</v>
      </c>
      <c r="E29" s="2">
        <v>19800</v>
      </c>
    </row>
    <row r="30" spans="1:10" ht="18" customHeight="1" x14ac:dyDescent="0.25">
      <c r="A30" s="1">
        <v>29</v>
      </c>
      <c r="B30" s="1">
        <v>11</v>
      </c>
      <c r="C30" s="1">
        <v>14</v>
      </c>
      <c r="D30" s="1">
        <v>1</v>
      </c>
      <c r="E30" s="2">
        <v>32800</v>
      </c>
    </row>
    <row r="31" spans="1:10" ht="18" customHeight="1" x14ac:dyDescent="0.25">
      <c r="A31" s="1">
        <v>30</v>
      </c>
      <c r="B31" s="1">
        <v>11</v>
      </c>
      <c r="C31" s="1">
        <v>20</v>
      </c>
      <c r="D31" s="1">
        <v>2</v>
      </c>
      <c r="E31" s="2">
        <v>29800</v>
      </c>
    </row>
    <row r="32" spans="1:10" ht="18" customHeight="1" x14ac:dyDescent="0.25">
      <c r="A32" s="1">
        <v>31</v>
      </c>
      <c r="B32" s="1">
        <v>11</v>
      </c>
      <c r="C32" s="1">
        <v>2</v>
      </c>
      <c r="D32" s="1">
        <v>3</v>
      </c>
      <c r="E32" s="2">
        <v>19800</v>
      </c>
    </row>
    <row r="33" spans="1:5" ht="18" customHeight="1" x14ac:dyDescent="0.25">
      <c r="A33" s="1">
        <v>32</v>
      </c>
      <c r="B33" s="1">
        <v>11</v>
      </c>
      <c r="C33" s="1">
        <v>12</v>
      </c>
      <c r="D33" s="1">
        <v>2</v>
      </c>
      <c r="E33" s="2">
        <v>54200</v>
      </c>
    </row>
    <row r="34" spans="1:5" ht="18" customHeight="1" x14ac:dyDescent="0.25">
      <c r="A34" s="1">
        <v>33</v>
      </c>
      <c r="B34" s="1">
        <v>12</v>
      </c>
      <c r="C34" s="1">
        <v>20</v>
      </c>
      <c r="D34" s="1">
        <v>2</v>
      </c>
      <c r="E34" s="2">
        <v>29800</v>
      </c>
    </row>
    <row r="35" spans="1:5" ht="18" customHeight="1" x14ac:dyDescent="0.25">
      <c r="A35" s="1">
        <v>34</v>
      </c>
      <c r="B35" s="1">
        <v>12</v>
      </c>
      <c r="C35" s="1">
        <v>4</v>
      </c>
      <c r="D35" s="1">
        <v>3</v>
      </c>
      <c r="E35" s="2">
        <v>19800</v>
      </c>
    </row>
    <row r="36" spans="1:5" ht="18" customHeight="1" x14ac:dyDescent="0.25">
      <c r="A36" s="1">
        <v>35</v>
      </c>
      <c r="B36" s="1">
        <v>13</v>
      </c>
      <c r="C36" s="1">
        <v>12</v>
      </c>
      <c r="D36" s="1">
        <v>1</v>
      </c>
      <c r="E36" s="2">
        <v>54200</v>
      </c>
    </row>
    <row r="37" spans="1:5" ht="18" customHeight="1" x14ac:dyDescent="0.25">
      <c r="A37" s="1">
        <v>36</v>
      </c>
      <c r="B37" s="1">
        <v>13</v>
      </c>
      <c r="C37" s="1">
        <v>2</v>
      </c>
      <c r="D37" s="1">
        <v>1</v>
      </c>
      <c r="E37" s="2">
        <v>19800</v>
      </c>
    </row>
    <row r="38" spans="1:5" ht="18" customHeight="1" x14ac:dyDescent="0.25">
      <c r="A38" s="1">
        <v>37</v>
      </c>
      <c r="B38" s="1">
        <v>13</v>
      </c>
      <c r="C38" s="1">
        <v>23</v>
      </c>
      <c r="D38" s="1">
        <v>3</v>
      </c>
      <c r="E38" s="2">
        <v>23200</v>
      </c>
    </row>
    <row r="39" spans="1:5" ht="18" customHeight="1" x14ac:dyDescent="0.25">
      <c r="A39" s="1">
        <v>38</v>
      </c>
      <c r="B39" s="1">
        <v>13</v>
      </c>
      <c r="C39" s="1">
        <v>7</v>
      </c>
      <c r="D39" s="1">
        <v>3</v>
      </c>
      <c r="E39" s="2">
        <v>15800</v>
      </c>
    </row>
    <row r="40" spans="1:5" ht="18" customHeight="1" x14ac:dyDescent="0.25">
      <c r="A40" s="1">
        <v>39</v>
      </c>
      <c r="B40" s="1">
        <v>13</v>
      </c>
      <c r="C40" s="1">
        <v>4</v>
      </c>
      <c r="D40" s="1">
        <v>1</v>
      </c>
      <c r="E40" s="2">
        <v>19800</v>
      </c>
    </row>
    <row r="41" spans="1:5" ht="18" customHeight="1" x14ac:dyDescent="0.25">
      <c r="A41" s="1">
        <v>40</v>
      </c>
      <c r="B41" s="1">
        <v>14</v>
      </c>
      <c r="C41" s="1">
        <v>4</v>
      </c>
      <c r="D41" s="1">
        <v>3</v>
      </c>
      <c r="E41" s="2">
        <v>19800</v>
      </c>
    </row>
    <row r="42" spans="1:5" ht="18" customHeight="1" x14ac:dyDescent="0.25">
      <c r="A42" s="1">
        <v>41</v>
      </c>
      <c r="B42" s="1">
        <v>14</v>
      </c>
      <c r="C42" s="1">
        <v>13</v>
      </c>
      <c r="D42" s="1">
        <v>1</v>
      </c>
      <c r="E42" s="2">
        <v>32800</v>
      </c>
    </row>
    <row r="43" spans="1:5" ht="18" customHeight="1" x14ac:dyDescent="0.25">
      <c r="A43" s="1">
        <v>42</v>
      </c>
      <c r="B43" s="1">
        <v>14</v>
      </c>
      <c r="C43" s="1">
        <v>15</v>
      </c>
      <c r="D43" s="1">
        <v>1</v>
      </c>
      <c r="E43" s="2">
        <v>32800</v>
      </c>
    </row>
    <row r="44" spans="1:5" ht="18" customHeight="1" x14ac:dyDescent="0.25">
      <c r="A44" s="1">
        <v>43</v>
      </c>
      <c r="B44" s="1">
        <v>14</v>
      </c>
      <c r="C44" s="1">
        <v>8</v>
      </c>
      <c r="D44" s="1">
        <v>3</v>
      </c>
      <c r="E44" s="2">
        <v>15800</v>
      </c>
    </row>
    <row r="45" spans="1:5" ht="18" customHeight="1" x14ac:dyDescent="0.25">
      <c r="A45" s="1">
        <v>44</v>
      </c>
      <c r="B45" s="1">
        <v>16</v>
      </c>
      <c r="C45" s="1">
        <v>12</v>
      </c>
      <c r="D45" s="1">
        <v>2</v>
      </c>
      <c r="E45" s="2">
        <v>54200</v>
      </c>
    </row>
    <row r="46" spans="1:5" ht="18" customHeight="1" x14ac:dyDescent="0.25">
      <c r="A46" s="1">
        <v>45</v>
      </c>
      <c r="B46" s="1">
        <v>16</v>
      </c>
      <c r="C46" s="1">
        <v>14</v>
      </c>
      <c r="D46" s="1">
        <v>2</v>
      </c>
      <c r="E46" s="2">
        <v>32800</v>
      </c>
    </row>
    <row r="47" spans="1:5" ht="18" customHeight="1" x14ac:dyDescent="0.25">
      <c r="A47" s="1">
        <v>46</v>
      </c>
      <c r="B47" s="1">
        <v>16</v>
      </c>
      <c r="C47" s="1">
        <v>6</v>
      </c>
      <c r="D47" s="1">
        <v>1</v>
      </c>
      <c r="E47" s="2">
        <v>15800</v>
      </c>
    </row>
    <row r="48" spans="1:5" ht="18" customHeight="1" x14ac:dyDescent="0.25">
      <c r="A48" s="1">
        <v>47</v>
      </c>
      <c r="B48" s="1">
        <v>16</v>
      </c>
      <c r="C48" s="1">
        <v>3</v>
      </c>
      <c r="D48" s="1">
        <v>1</v>
      </c>
      <c r="E48" s="2">
        <v>19800</v>
      </c>
    </row>
    <row r="49" spans="1:5" ht="18" customHeight="1" x14ac:dyDescent="0.25">
      <c r="A49" s="1">
        <v>48</v>
      </c>
      <c r="B49" s="1">
        <v>17</v>
      </c>
      <c r="C49" s="1">
        <v>9</v>
      </c>
      <c r="D49" s="1">
        <v>3</v>
      </c>
      <c r="E49" s="2">
        <v>54200</v>
      </c>
    </row>
    <row r="50" spans="1:5" ht="18" customHeight="1" x14ac:dyDescent="0.25">
      <c r="A50" s="1">
        <v>49</v>
      </c>
      <c r="B50" s="1">
        <v>17</v>
      </c>
      <c r="C50" s="1">
        <v>4</v>
      </c>
      <c r="D50" s="1">
        <v>2</v>
      </c>
      <c r="E50" s="2">
        <v>19800</v>
      </c>
    </row>
    <row r="51" spans="1:5" ht="18" customHeight="1" x14ac:dyDescent="0.25">
      <c r="A51" s="1">
        <v>50</v>
      </c>
      <c r="B51" s="1">
        <v>17</v>
      </c>
      <c r="C51" s="1">
        <v>5</v>
      </c>
      <c r="D51" s="1">
        <v>2</v>
      </c>
      <c r="E51" s="2">
        <v>15800</v>
      </c>
    </row>
    <row r="52" spans="1:5" ht="18" customHeight="1" x14ac:dyDescent="0.25">
      <c r="A52" s="1">
        <v>51</v>
      </c>
      <c r="B52" s="1">
        <v>17</v>
      </c>
      <c r="C52" s="1">
        <v>8</v>
      </c>
      <c r="D52" s="1">
        <v>1</v>
      </c>
      <c r="E52" s="2">
        <v>15800</v>
      </c>
    </row>
    <row r="53" spans="1:5" ht="18" customHeight="1" x14ac:dyDescent="0.25">
      <c r="A53" s="1">
        <v>52</v>
      </c>
      <c r="B53" s="1">
        <v>17</v>
      </c>
      <c r="C53" s="1">
        <v>9</v>
      </c>
      <c r="D53" s="1">
        <v>1</v>
      </c>
      <c r="E53" s="2">
        <v>54200</v>
      </c>
    </row>
    <row r="54" spans="1:5" ht="18" customHeight="1" x14ac:dyDescent="0.25">
      <c r="A54" s="1">
        <v>53</v>
      </c>
      <c r="B54" s="1">
        <v>17</v>
      </c>
      <c r="C54" s="1">
        <v>24</v>
      </c>
      <c r="D54" s="1">
        <v>2</v>
      </c>
      <c r="E54" s="2">
        <v>23200</v>
      </c>
    </row>
    <row r="55" spans="1:5" ht="18" customHeight="1" x14ac:dyDescent="0.25">
      <c r="A55" s="1">
        <v>54</v>
      </c>
      <c r="B55" s="1">
        <v>18</v>
      </c>
      <c r="C55" s="1">
        <v>19</v>
      </c>
      <c r="D55" s="1">
        <v>3</v>
      </c>
      <c r="E55" s="2">
        <v>29800</v>
      </c>
    </row>
    <row r="56" spans="1:5" ht="18" customHeight="1" x14ac:dyDescent="0.25">
      <c r="A56" s="1">
        <v>55</v>
      </c>
      <c r="B56" s="1">
        <v>19</v>
      </c>
      <c r="C56" s="1">
        <v>23</v>
      </c>
      <c r="D56" s="1">
        <v>1</v>
      </c>
      <c r="E56" s="2">
        <v>23200</v>
      </c>
    </row>
    <row r="57" spans="1:5" ht="18" customHeight="1" x14ac:dyDescent="0.25">
      <c r="A57" s="1">
        <v>56</v>
      </c>
      <c r="B57" s="1">
        <v>19</v>
      </c>
      <c r="C57" s="1">
        <v>7</v>
      </c>
      <c r="D57" s="1">
        <v>2</v>
      </c>
      <c r="E57" s="2">
        <v>15800</v>
      </c>
    </row>
    <row r="58" spans="1:5" ht="18" customHeight="1" x14ac:dyDescent="0.25">
      <c r="A58" s="1">
        <v>57</v>
      </c>
      <c r="B58" s="1">
        <v>20</v>
      </c>
      <c r="C58" s="1">
        <v>6</v>
      </c>
      <c r="D58" s="1">
        <v>3</v>
      </c>
      <c r="E58" s="2">
        <v>15800</v>
      </c>
    </row>
    <row r="59" spans="1:5" ht="18" customHeight="1" x14ac:dyDescent="0.25">
      <c r="A59" s="1">
        <v>58</v>
      </c>
      <c r="B59" s="1">
        <v>20</v>
      </c>
      <c r="C59" s="1">
        <v>9</v>
      </c>
      <c r="D59" s="1">
        <v>3</v>
      </c>
      <c r="E59" s="2">
        <v>54200</v>
      </c>
    </row>
    <row r="60" spans="1:5" ht="18" customHeight="1" x14ac:dyDescent="0.25">
      <c r="A60" s="1">
        <v>59</v>
      </c>
      <c r="B60" s="1">
        <v>21</v>
      </c>
      <c r="C60" s="1">
        <v>5</v>
      </c>
      <c r="D60" s="1">
        <v>1</v>
      </c>
      <c r="E60" s="2">
        <v>15800</v>
      </c>
    </row>
    <row r="61" spans="1:5" ht="18" customHeight="1" x14ac:dyDescent="0.25">
      <c r="A61" s="1">
        <v>60</v>
      </c>
      <c r="B61" s="1">
        <v>21</v>
      </c>
      <c r="C61" s="1">
        <v>20</v>
      </c>
      <c r="D61" s="1">
        <v>1</v>
      </c>
      <c r="E61" s="2">
        <v>29800</v>
      </c>
    </row>
    <row r="62" spans="1:5" ht="18" customHeight="1" x14ac:dyDescent="0.25">
      <c r="A62" s="1">
        <v>61</v>
      </c>
      <c r="B62" s="1">
        <v>21</v>
      </c>
      <c r="C62" s="1">
        <v>17</v>
      </c>
      <c r="D62" s="1">
        <v>3</v>
      </c>
      <c r="E62" s="2">
        <v>29800</v>
      </c>
    </row>
    <row r="63" spans="1:5" ht="18" customHeight="1" x14ac:dyDescent="0.25">
      <c r="A63" s="1">
        <v>62</v>
      </c>
      <c r="B63" s="1">
        <v>21</v>
      </c>
      <c r="C63" s="1">
        <v>17</v>
      </c>
      <c r="D63" s="1">
        <v>2</v>
      </c>
      <c r="E63" s="2">
        <v>29800</v>
      </c>
    </row>
    <row r="64" spans="1:5" ht="18" customHeight="1" x14ac:dyDescent="0.25">
      <c r="A64" s="1">
        <v>63</v>
      </c>
      <c r="B64" s="1">
        <v>22</v>
      </c>
      <c r="C64" s="1">
        <v>24</v>
      </c>
      <c r="D64" s="1">
        <v>2</v>
      </c>
      <c r="E64" s="2">
        <v>23200</v>
      </c>
    </row>
    <row r="65" spans="1:5" ht="18" customHeight="1" x14ac:dyDescent="0.25">
      <c r="A65" s="1">
        <v>64</v>
      </c>
      <c r="B65" s="1">
        <v>22</v>
      </c>
      <c r="C65" s="1">
        <v>15</v>
      </c>
      <c r="D65" s="1">
        <v>3</v>
      </c>
      <c r="E65" s="2">
        <v>32800</v>
      </c>
    </row>
    <row r="66" spans="1:5" ht="18" customHeight="1" x14ac:dyDescent="0.25">
      <c r="A66" s="1">
        <v>65</v>
      </c>
      <c r="B66" s="1">
        <v>22</v>
      </c>
      <c r="C66" s="1">
        <v>20</v>
      </c>
      <c r="D66" s="1">
        <v>2</v>
      </c>
      <c r="E66" s="2">
        <v>29800</v>
      </c>
    </row>
    <row r="67" spans="1:5" ht="18" customHeight="1" x14ac:dyDescent="0.25">
      <c r="A67" s="1">
        <v>66</v>
      </c>
      <c r="B67" s="1">
        <v>23</v>
      </c>
      <c r="C67" s="1">
        <v>17</v>
      </c>
      <c r="D67" s="1">
        <v>3</v>
      </c>
      <c r="E67" s="2">
        <v>29800</v>
      </c>
    </row>
    <row r="68" spans="1:5" ht="18" customHeight="1" x14ac:dyDescent="0.25">
      <c r="A68" s="1">
        <v>67</v>
      </c>
      <c r="B68" s="1">
        <v>23</v>
      </c>
      <c r="C68" s="1">
        <v>21</v>
      </c>
      <c r="D68" s="1">
        <v>2</v>
      </c>
      <c r="E68" s="2">
        <v>23200</v>
      </c>
    </row>
  </sheetData>
  <autoFilter ref="A1:E68" xr:uid="{9D2AB3CE-EA66-4D49-A8D1-074EE63527B1}">
    <sortState xmlns:xlrd2="http://schemas.microsoft.com/office/spreadsheetml/2017/richdata2" ref="A2:E68">
      <sortCondition ref="B1:B68"/>
    </sortState>
  </autoFilter>
  <mergeCells count="4">
    <mergeCell ref="G22:I22"/>
    <mergeCell ref="H2:I2"/>
    <mergeCell ref="G8:J8"/>
    <mergeCell ref="G4:J4"/>
  </mergeCells>
  <phoneticPr fontId="1" type="noConversion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60308D8-5C72-44B6-82CA-F9F86DF18CDE}">
          <x14:formula1>
            <xm:f>주문목록!$C$2:$C$24</xm:f>
          </x14:formula1>
          <xm:sqref>H2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02AF5-4639-43D3-AEFF-A255E6E0B249}">
  <sheetPr codeName="shtStructure">
    <tabColor rgb="FFFFFF00"/>
  </sheetPr>
  <dimension ref="B2:H8"/>
  <sheetViews>
    <sheetView zoomScale="190" zoomScaleNormal="190" workbookViewId="0">
      <selection activeCell="H2" sqref="H2:H5"/>
    </sheetView>
  </sheetViews>
  <sheetFormatPr defaultColWidth="9.109375" defaultRowHeight="18" customHeight="1" x14ac:dyDescent="0.35"/>
  <cols>
    <col min="1" max="1" width="9.109375" style="20"/>
    <col min="2" max="2" width="12.44140625" style="20" customWidth="1"/>
    <col min="3" max="3" width="7.109375" style="20" customWidth="1"/>
    <col min="4" max="4" width="12.44140625" style="20" customWidth="1"/>
    <col min="5" max="5" width="6.5546875" style="20" customWidth="1"/>
    <col min="6" max="6" width="12.44140625" style="20" customWidth="1"/>
    <col min="7" max="7" width="6.33203125" style="20" customWidth="1"/>
    <col min="8" max="8" width="12.44140625" style="20" customWidth="1"/>
    <col min="9" max="16384" width="9.109375" style="20"/>
  </cols>
  <sheetData>
    <row r="2" spans="2:8" ht="18" customHeight="1" x14ac:dyDescent="0.35">
      <c r="B2" s="24" t="s">
        <v>13</v>
      </c>
      <c r="D2" s="24" t="s">
        <v>136</v>
      </c>
      <c r="F2" s="24" t="s">
        <v>108</v>
      </c>
      <c r="H2" s="24" t="s">
        <v>4</v>
      </c>
    </row>
    <row r="3" spans="2:8" ht="18" customHeight="1" x14ac:dyDescent="0.35">
      <c r="B3" s="23" t="s">
        <v>11</v>
      </c>
      <c r="D3" s="23" t="s">
        <v>11</v>
      </c>
      <c r="F3" s="23" t="s">
        <v>11</v>
      </c>
      <c r="H3" s="23" t="s">
        <v>11</v>
      </c>
    </row>
    <row r="4" spans="2:8" ht="18" customHeight="1" x14ac:dyDescent="0.35">
      <c r="B4" s="21" t="s">
        <v>14</v>
      </c>
      <c r="D4" s="23" t="s">
        <v>94</v>
      </c>
      <c r="F4" s="23" t="s">
        <v>101</v>
      </c>
      <c r="H4" s="21" t="s">
        <v>3</v>
      </c>
    </row>
    <row r="5" spans="2:8" ht="18" customHeight="1" x14ac:dyDescent="0.35">
      <c r="B5" s="21" t="s">
        <v>12</v>
      </c>
      <c r="D5" s="21" t="s">
        <v>103</v>
      </c>
      <c r="F5" s="23" t="s">
        <v>96</v>
      </c>
      <c r="H5" s="21" t="s">
        <v>9</v>
      </c>
    </row>
    <row r="6" spans="2:8" ht="18" customHeight="1" x14ac:dyDescent="0.35">
      <c r="B6" s="21" t="s">
        <v>16</v>
      </c>
      <c r="D6" s="22" t="s">
        <v>105</v>
      </c>
      <c r="F6" s="21" t="s">
        <v>98</v>
      </c>
      <c r="H6" s="22" t="s">
        <v>7</v>
      </c>
    </row>
    <row r="7" spans="2:8" ht="18" customHeight="1" x14ac:dyDescent="0.35">
      <c r="B7" s="21" t="s">
        <v>17</v>
      </c>
      <c r="F7" s="22" t="s">
        <v>5</v>
      </c>
    </row>
    <row r="8" spans="2:8" ht="18" customHeight="1" x14ac:dyDescent="0.35">
      <c r="B8" s="22" t="s">
        <v>18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테스트</vt:lpstr>
      <vt:lpstr>제품명</vt:lpstr>
      <vt:lpstr>고객명</vt:lpstr>
      <vt:lpstr>주문목록</vt:lpstr>
      <vt:lpstr>주문상세</vt:lpstr>
      <vt:lpstr>구조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lee</dc:creator>
  <cp:lastModifiedBy>엑셀오빠두</cp:lastModifiedBy>
  <dcterms:created xsi:type="dcterms:W3CDTF">2020-09-08T05:31:14Z</dcterms:created>
  <dcterms:modified xsi:type="dcterms:W3CDTF">2022-01-25T12:00:21Z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8c5079ea-c9f8-4677-b693-d6a0ba9a7e47</vt:lpwstr>
  </property>
</Properties>
</file>